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ecuencia" sheetId="2" state="visible" r:id="rId4"/>
    <sheet name="Backlog técnico" sheetId="3" state="visible" r:id="rId5"/>
    <sheet name="Decisiones" sheetId="4" state="visible" r:id="rId6"/>
    <sheet name="Brechas" sheetId="5" state="visible" r:id="rId7"/>
    <sheet name="Eventos bitácora" sheetId="6" state="visible" r:id="rId8"/>
  </sheets>
  <definedNames>
    <definedName function="false" hidden="true" localSheetId="2" name="_xlnm._FilterDatabase" vbProcedure="false">'Backlog técnico'!$A$1:$R$80</definedName>
    <definedName function="false" hidden="true" localSheetId="4" name="_xlnm._FilterDatabase" vbProcedure="false">Brechas!$A$1:$C$8</definedName>
    <definedName function="false" hidden="true" localSheetId="3" name="_xlnm._FilterDatabase" vbProcedure="false">Decisiones!$A$1:$D$13</definedName>
    <definedName function="false" hidden="true" localSheetId="5" name="_xlnm._FilterDatabase" vbProcedure="false">'Eventos bitácora'!$A$1:$F$23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<sst xmlns="http://schemas.openxmlformats.org/spreadsheetml/2006/main" count="1702" uniqueCount="886">
  <si>
    <t xml:space="preserve">Backlog técnico BELC · Release 1</t>
  </si>
  <si>
    <t xml:space="preserve">Derivado de las historias BELCMW-1 a BELCMW-48 y del modelo BELC. Edita el Estado en la hoja 'Backlog técnico'; este resumen se recalcula solo.</t>
  </si>
  <si>
    <t xml:space="preserve">Célula</t>
  </si>
  <si>
    <t xml:space="preserve">Habilitada</t>
  </si>
  <si>
    <t xml:space="preserve">Refinada</t>
  </si>
  <si>
    <t xml:space="preserve">Espera decisión</t>
  </si>
  <si>
    <t xml:space="preserve">Bloqueado</t>
  </si>
  <si>
    <t xml:space="preserve">En curso</t>
  </si>
  <si>
    <t xml:space="preserve">Terminado</t>
  </si>
  <si>
    <t xml:space="preserve">Total</t>
  </si>
  <si>
    <t xml:space="preserve">BE</t>
  </si>
  <si>
    <t xml:space="preserve">Web</t>
  </si>
  <si>
    <t xml:space="preserve">BO</t>
  </si>
  <si>
    <t xml:space="preserve">SRE</t>
  </si>
  <si>
    <t xml:space="preserve">SRE + DBA</t>
  </si>
  <si>
    <t xml:space="preserve">Business Capabilities</t>
  </si>
  <si>
    <t xml:space="preserve">ForgeRock</t>
  </si>
  <si>
    <t xml:space="preserve">BE + ForgeRock</t>
  </si>
  <si>
    <t xml:space="preserve">Web + ForgeRock</t>
  </si>
  <si>
    <t xml:space="preserve">BE + QA</t>
  </si>
  <si>
    <t xml:space="preserve">Arquitectura</t>
  </si>
  <si>
    <t xml:space="preserve">Arquitectura + DBA</t>
  </si>
  <si>
    <t xml:space="preserve">Control: tareas en el backlog</t>
  </si>
  <si>
    <t xml:space="preserve">Leyenda de estados</t>
  </si>
  <si>
    <t xml:space="preserve">Sin dependencias abiertas: se puede ejecutar e integrar</t>
  </si>
  <si>
    <t xml:space="preserve">Clara para el equipo; inicia con contratos y mocks, la integración espera sus dependencias</t>
  </si>
  <si>
    <t xml:space="preserve">Espera una decisión (hoja Decisiones)</t>
  </si>
  <si>
    <t xml:space="preserve">Depende de un equipo o servicio no disponible</t>
  </si>
  <si>
    <t xml:space="preserve">Tareas por responsable (una tarea compartida cuenta para cada persona)</t>
  </si>
  <si>
    <t xml:space="preserve">Responsable</t>
  </si>
  <si>
    <t xml:space="preserve">Rol</t>
  </si>
  <si>
    <t xml:space="preserve">Domingo Camargo</t>
  </si>
  <si>
    <t xml:space="preserve">Líder técnico BE</t>
  </si>
  <si>
    <t xml:space="preserve">Raúl Rojas</t>
  </si>
  <si>
    <t xml:space="preserve">Dev Backend</t>
  </si>
  <si>
    <t xml:space="preserve">Edwin Lima</t>
  </si>
  <si>
    <t xml:space="preserve">David Ríos</t>
  </si>
  <si>
    <t xml:space="preserve">Benjamín Rodríguez</t>
  </si>
  <si>
    <t xml:space="preserve">Allan Bennett</t>
  </si>
  <si>
    <t xml:space="preserve">Líder técnico Web</t>
  </si>
  <si>
    <t xml:space="preserve">Isis López</t>
  </si>
  <si>
    <t xml:space="preserve">Dev Fullstack</t>
  </si>
  <si>
    <t xml:space="preserve">Yariela Espinosa</t>
  </si>
  <si>
    <t xml:space="preserve">Dev Frontend</t>
  </si>
  <si>
    <t xml:space="preserve">Yesuri Barría</t>
  </si>
  <si>
    <t xml:space="preserve">Kevin Hawkins</t>
  </si>
  <si>
    <t xml:space="preserve">QA Aut. Web</t>
  </si>
  <si>
    <t xml:space="preserve">Leyda Batista</t>
  </si>
  <si>
    <t xml:space="preserve">QA Funcional Web</t>
  </si>
  <si>
    <t xml:space="preserve">Alfredo Pinzón</t>
  </si>
  <si>
    <t xml:space="preserve">Dev Backend BO</t>
  </si>
  <si>
    <t xml:space="preserve">Jonathan Vargas</t>
  </si>
  <si>
    <t xml:space="preserve">Héctor Durán</t>
  </si>
  <si>
    <t xml:space="preserve">Dev Fullstack BO</t>
  </si>
  <si>
    <t xml:space="preserve">Abraham Otero</t>
  </si>
  <si>
    <t xml:space="preserve">Chaidir Charpenter</t>
  </si>
  <si>
    <t xml:space="preserve">Dev Frontend BO</t>
  </si>
  <si>
    <t xml:space="preserve">Rusbenin Chinchilla</t>
  </si>
  <si>
    <t xml:space="preserve">Eric Manuel Hdz.</t>
  </si>
  <si>
    <t xml:space="preserve">Líder DevSecOps</t>
  </si>
  <si>
    <t xml:space="preserve">Karen Gonzalez</t>
  </si>
  <si>
    <t xml:space="preserve">Oficial Jr. DevSecOps</t>
  </si>
  <si>
    <t xml:space="preserve">Ezequiel Dawson</t>
  </si>
  <si>
    <t xml:space="preserve">Líder Técnico CORE</t>
  </si>
  <si>
    <t xml:space="preserve">Abraham Aizprúa</t>
  </si>
  <si>
    <t xml:space="preserve">PO Técnico BC</t>
  </si>
  <si>
    <t xml:space="preserve">Gustavo</t>
  </si>
  <si>
    <t xml:space="preserve">Ximena Williams</t>
  </si>
  <si>
    <t xml:space="preserve">Arquitecta</t>
  </si>
  <si>
    <t xml:space="preserve">La célula App no tiene tareas: el tablero BELCMW es solo Web (ver Brechas).</t>
  </si>
  <si>
    <t xml:space="preserve">Secuencia de construcción del R1</t>
  </si>
  <si>
    <t xml:space="preserve">Propuesta de orden, sin estimaciones: la capacidad por sprint, la integración, la regresión de BELP, la UAT y el plan de reversión se definen en el refinamiento con cada célula. R1: 27 de enero de 2027.</t>
  </si>
  <si>
    <t xml:space="preserve">Ola</t>
  </si>
  <si>
    <t xml:space="preserve">Sprint sugerido</t>
  </si>
  <si>
    <t xml:space="preserve">Nombre</t>
  </si>
  <si>
    <t xml:space="preserve">Qué se logra</t>
  </si>
  <si>
    <t xml:space="preserve">Tareas</t>
  </si>
  <si>
    <t xml:space="preserve">Cantidad</t>
  </si>
  <si>
    <t xml:space="preserve">Habilitadas</t>
  </si>
  <si>
    <t xml:space="preserve">Sprint 1</t>
  </si>
  <si>
    <t xml:space="preserve">Cimientos</t>
  </si>
  <si>
    <t xml:space="preserve">Base de datos, contratos de COBIS, gateway, ForgeRock arranca y decisiones abiertas. Sin esto nadie puede integrar.</t>
  </si>
  <si>
    <t xml:space="preserve">TEC-001, TEC-010, TEC-026, TEC-012, TEC-013, TEC-014, TEC-016, TEC-017, TEC-018, TEC-024</t>
  </si>
  <si>
    <t xml:space="preserve">Sprint 1-2</t>
  </si>
  <si>
    <t xml:space="preserve">Base común</t>
  </si>
  <si>
    <t xml:space="preserve">Piezas que usan todos los microservicios: bitácora, catálogos, permisos, persona, notificaciones y login de empleados.</t>
  </si>
  <si>
    <t xml:space="preserve">TEC-002, TEC-003, TEC-004, TEC-006, TEC-011, TEC-015</t>
  </si>
  <si>
    <t xml:space="preserve">Sprint 2-3</t>
  </si>
  <si>
    <t xml:space="preserve">Lado del banco, afiliación y contexto</t>
  </si>
  <si>
    <t xml:space="preserve">El banco crea grupos y vincula empresas y productos; las personas entran por invitación; la sesión sabe su contexto.</t>
  </si>
  <si>
    <t xml:space="preserve">TEC-007, TEC-008, TEC-009, TEC-019, TEC-022, TEC-023, TEC-020, TEC-021, TEC-005, TEC-025</t>
  </si>
  <si>
    <t xml:space="preserve">Sprint 3-4</t>
  </si>
  <si>
    <t xml:space="preserve">Autogestión del administrador</t>
  </si>
  <si>
    <t xml:space="preserve">Grupos de productos, roles y usuarios: backend primero, la pantalla en el mismo sprint o el siguiente.</t>
  </si>
  <si>
    <t xml:space="preserve">TEC-070, TEC-071, TEC-072, TEC-073, TEC-074, TEC-075, TEC-076, TEC-077, TEC-078, TEC-079, TEC-054, TEC-055, TEC-050, TEC-051, TEC-052, TEC-053, TEC-056, TEC-057, TEC-058, TEC-059, TEC-060, TEC-061, TEC-030, TEC-031, TEC-032, TEC-033, TEC-034, TEC-035, TEC-036, TEC-037, TEC-038, TEC-039, TEC-040</t>
  </si>
  <si>
    <t xml:space="preserve">Sprint 4-5</t>
  </si>
  <si>
    <t xml:space="preserve">Operación del usuario</t>
  </si>
  <si>
    <t xml:space="preserve">Usuarios secundarios entran, cambian de contexto o de grupo y ven solo sus productos.</t>
  </si>
  <si>
    <t xml:space="preserve">TEC-104, TEC-100, TEC-101, TEC-102, TEC-103, TEC-105, TEC-106, TEC-107</t>
  </si>
  <si>
    <t xml:space="preserve">Sprint 5-6</t>
  </si>
  <si>
    <t xml:space="preserve">Flujos de aprobación</t>
  </si>
  <si>
    <t xml:space="preserve">Solo si la PO confirma que entran al R1 (D4); si no, pasan al R2.</t>
  </si>
  <si>
    <t xml:space="preserve">TEC-080, TEC-081, TEC-082, TEC-083, TEC-084, TEC-085, TEC-086, TEC-087, TEC-088, TEC-089, TEC-090, TEC-091</t>
  </si>
  <si>
    <t xml:space="preserve">Rutas críticas</t>
  </si>
  <si>
    <t xml:space="preserve">Base: TEC-001 Liquibase → TEC-004 permisos → TEC-005 contexto → todas las pantallas de autogestión.</t>
  </si>
  <si>
    <t xml:space="preserve">Identidad: TEC-010 ForgeRock (Gustavo) → TEC-022/023 registro → TEC-020 vinculación → TEC-104 usuarios secundarios.</t>
  </si>
  <si>
    <t xml:space="preserve">Datos: TEC-009 vincular productos (BO) → TEC-072 grupos de productos → TEC-052 roles → TEC-105 consolidado. Mientras BO termina, BE trabaja con datos semilla.</t>
  </si>
  <si>
    <t xml:space="preserve">Decisiones: D1 (tuya) destraba contexto, afiliación e invitación. D4 (PO) decide si la ola 6 entra al R1.</t>
  </si>
  <si>
    <t xml:space="preserve">Clave</t>
  </si>
  <si>
    <t xml:space="preserve">Historia PO relacionada</t>
  </si>
  <si>
    <t xml:space="preserve">Épica PO</t>
  </si>
  <si>
    <t xml:space="preserve">Título</t>
  </si>
  <si>
    <t xml:space="preserve">Tipo</t>
  </si>
  <si>
    <t xml:space="preserve">1. Objetivo técnico</t>
  </si>
  <si>
    <t xml:space="preserve">2. Alcance</t>
  </si>
  <si>
    <t xml:space="preserve">3. Diseño / arquitectura</t>
  </si>
  <si>
    <t xml:space="preserve">4. Componentes impactados</t>
  </si>
  <si>
    <t xml:space="preserve">5. Dependencias</t>
  </si>
  <si>
    <t xml:space="preserve">6. Restricciones</t>
  </si>
  <si>
    <t xml:space="preserve">7. Criterios de aceptación técnicos</t>
  </si>
  <si>
    <t xml:space="preserve">Estado</t>
  </si>
  <si>
    <t xml:space="preserve">Decisión o bloqueo</t>
  </si>
  <si>
    <t xml:space="preserve">TEC-001</t>
  </si>
  <si>
    <t xml:space="preserve">—</t>
  </si>
  <si>
    <t xml:space="preserve">Habilitadores técnicos</t>
  </si>
  <si>
    <t xml:space="preserve">Liquibase para los esquemas belc y auditoria en el pipeline</t>
  </si>
  <si>
    <t xml:space="preserve">DevOps / BD</t>
  </si>
  <si>
    <t xml:space="preserve">Que los esquemas belc y auditoria se creen y versionen igual en todos los ambientes, sin scripts manuales.</t>
  </si>
  <si>
    <t xml:space="preserve">Incluye: Changelog por esquema, ejecución en el pipeline de DEV y QA, prueba de integridad y de permisos.
No incluye: Esquema belp (sin cambios); datos de negocio.</t>
  </si>
  <si>
    <t xml:space="preserve">Escribe: Esquemas belc y auditoria; roles rol_app_belc y rol_app_belp</t>
  </si>
  <si>
    <t xml:space="preserve">Aurora MySQL · Liquibase</t>
  </si>
  <si>
    <t xml:space="preserve">Un changelog por esquema. Sin FKs entre esquemas. Ningún cambio al esquema belp.</t>
  </si>
  <si>
    <t xml:space="preserve">Un changelog por esquema (HT-02). La prueba prueba_integridad_BELC.sql rechaza los 12 casos inválidos en DEV y QA. El rol de BELC recibe 'command denied' al escribir en belp o modificar la bitácora.</t>
  </si>
  <si>
    <t xml:space="preserve">TEC-010</t>
  </si>
  <si>
    <t xml:space="preserve">Journeys de ForgeRock (registro y login) y claims del token de sesión</t>
  </si>
  <si>
    <t xml:space="preserve">Identidad</t>
  </si>
  <si>
    <t xml:space="preserve">Que una persona invitada pueda registrarse o entrar con su usuario existente y obtenga un token de sesión que indique si tiene acceso a BELP y a BELC.</t>
  </si>
  <si>
    <t xml:space="preserve">Incluye: Journeys de registro (4a y 4b) y login; claims del token de sesión.
No incluye: Acreditación de identidad, MFA y escritura de customProfile.belc (TEC-026); cambios a customProfile.belp.</t>
  </si>
  <si>
    <t xml:space="preserve">Escribe: managed/user · customProfile.belc
Bitácora: LOGIN_EXITOSO, LOGOUT</t>
  </si>
  <si>
    <t xml:space="preserve">ForgeRock AM + IDM</t>
  </si>
  <si>
    <t xml:space="preserve">customProfile.belp no se modifica. Un soft token por celular (no se crea otro para BELC).</t>
  </si>
  <si>
    <t xml:space="preserve">Con lo ya acordado: journeys de registro con invitación (ramas 4a y 4b) y de login, claims identity_id / belp_enabled / belc_enabled en el token de sesión, customProfile.belp sin cambios. Lo pendiente va en TEC-026.</t>
  </si>
  <si>
    <t xml:space="preserve">Sin historias de la PO</t>
  </si>
  <si>
    <t xml:space="preserve">TEC-026</t>
  </si>
  <si>
    <t xml:space="preserve">ForgeRock: acreditación de identidad, MFA y quién escribe customProfile.belc</t>
  </si>
  <si>
    <t xml:space="preserve">Cerrar las definiciones de identidad que faltan para el registro en BELC.</t>
  </si>
  <si>
    <t xml:space="preserve">Incluye: Definición y configuración de acreditación, MFA y escritura de customProfile.belc.
No incluye: Journeys base (TEC-010).</t>
  </si>
  <si>
    <t xml:space="preserve">Escribe: managed/user · customProfile.belc</t>
  </si>
  <si>
    <t xml:space="preserve">Definir cómo se acredita la identidad en la rama 4b, qué factor MFA aplica en BELC (soft token del celular u OTP) y qué servicio escribe customProfile.belc.enabled. Luego se configura en los journeys de TEC-010.</t>
  </si>
  <si>
    <t xml:space="preserve">D11</t>
  </si>
  <si>
    <t xml:space="preserve">TEC-012</t>
  </si>
  <si>
    <t xml:space="preserve">Contratos y mocks de COBIS: empresas, productos, saldos y detalle</t>
  </si>
  <si>
    <t xml:space="preserve">Integración</t>
  </si>
  <si>
    <t xml:space="preserve">Ezequiel Dawson / Abraham Aizprúa</t>
  </si>
  <si>
    <t xml:space="preserve">Que los equipos puedan desarrollar contra COBIS sin esperar la integración real.</t>
  </si>
  <si>
    <t xml:space="preserve">Incluye: Contratos y mocks de empresas, productos, saldos y detalle.
No incluye: Transacciones (R2).</t>
  </si>
  <si>
    <t xml:space="preserve">Lee: COBIS (solo lectura)</t>
  </si>
  <si>
    <t xml:space="preserve">Adaptador COBIS</t>
  </si>
  <si>
    <t xml:space="preserve">COBIS es solo lectura en el R1. El mock debe tener el mismo formato que el servicio real.</t>
  </si>
  <si>
    <t xml:space="preserve">Ejemplos reales de respuesta y tiempos de respuesta de cada servicio. Mock con el mismo formato para DEV.</t>
  </si>
  <si>
    <t xml:space="preserve">TEC-013</t>
  </si>
  <si>
    <t xml:space="preserve">API Gateway y WAF: rutas BELC propias y bloqueo independiente (ADR-002)</t>
  </si>
  <si>
    <t xml:space="preserve">DevOps</t>
  </si>
  <si>
    <t xml:space="preserve">Que las rutas de BELC se publiquen, protejan y puedan bloquearse sin afectar a BELP.</t>
  </si>
  <si>
    <t xml:space="preserve">Incluye: Rutas /v1 de BELC, validación de audiencia y belc_enabled, reglas de WAF y bloqueo por ruta.
No incluye: Rutas de BELP.</t>
  </si>
  <si>
    <t xml:space="preserve">Endpoint: /v1/* de BELC</t>
  </si>
  <si>
    <t xml:space="preserve">API Gateway · WAF</t>
  </si>
  <si>
    <t xml:space="preserve">Bloquear BELC no puede afectar las rutas de BELP.</t>
  </si>
  <si>
    <t xml:space="preserve">Valida audiencia y belc_enabled. Las rutas BELC se bloquean sin tocar las de BELP.</t>
  </si>
  <si>
    <t xml:space="preserve">TEC-014</t>
  </si>
  <si>
    <t xml:space="preserve">Protección de BELP en Aurora (ADR-002)</t>
  </si>
  <si>
    <t xml:space="preserve">Eric Manuel Hdz. / DBA</t>
  </si>
  <si>
    <t xml:space="preserve">Que la carga de BELC en Aurora no degrade a BELP en producción.</t>
  </si>
  <si>
    <t xml:space="preserve">Incluye: Réplica de lectura, límite de conexiones del usuario BELC y monitoreo por usuario.
No incluye: Crecimiento de la bitácora (TEC-018).</t>
  </si>
  <si>
    <t xml:space="preserve">Ver Componentes impactados.</t>
  </si>
  <si>
    <t xml:space="preserve">Aurora MySQL</t>
  </si>
  <si>
    <t xml:space="preserve">Las consultas de BELC no van al nodo de escritura cuando pueden ir a la réplica.</t>
  </si>
  <si>
    <t xml:space="preserve">Réplica de lectura para consultas de BELC. MAX_USER_CONNECTIONS en el usuario de BELC. Performance Insights por usuario. El crecimiento de la bitácora se trata en TEC-018.</t>
  </si>
  <si>
    <t xml:space="preserve">Puede iniciar con contratos y mocks de TEC-001; la integración espera que estén terminadas.</t>
  </si>
  <si>
    <t xml:space="preserve">TEC-016</t>
  </si>
  <si>
    <t xml:space="preserve">Ajustes de DDL detectados al cruzar el backlog</t>
  </si>
  <si>
    <t xml:space="preserve">BD</t>
  </si>
  <si>
    <t xml:space="preserve">Dejar el DDL alineado con lo que piden las historias de la PO.</t>
  </si>
  <si>
    <t xml:space="preserve">Incluye: Version en Usuario_grupo_economico y carga de los códigos nuevos de TIPO_EVENTO.
No incluye: Perfil EJECUTOR hasta cerrar D5.</t>
  </si>
  <si>
    <t xml:space="preserve">Escribe: Usuario_grupo_economico, perfil, TIPO_EVENTO</t>
  </si>
  <si>
    <t xml:space="preserve">No agregar EJECUTOR hasta cerrar D5.</t>
  </si>
  <si>
    <t xml:space="preserve">Ahora: agregar Version a Usuario_grupo_economico (para editar usuario con control de concurrencia) y cargar los códigos de la hoja 'Eventos bitácora'. El perfil EJECUTOR NO se agrega hasta cerrar D5.</t>
  </si>
  <si>
    <t xml:space="preserve">EJECUTOR condicionado a D5 · Puede iniciar con contratos y mocks de TEC-001; la integración espera que estén terminadas.</t>
  </si>
  <si>
    <t xml:space="preserve">TEC-017</t>
  </si>
  <si>
    <t xml:space="preserve">BELCMW-53</t>
  </si>
  <si>
    <t xml:space="preserve">BELCMW-3 Validación de procesos</t>
  </si>
  <si>
    <t xml:space="preserve">Spike: tabla de bitácora común para BELP y BELC</t>
  </si>
  <si>
    <t xml:space="preserve">Responder el spike BELCMW-53: si BELP y BELC usan una o dos tablas de bitácora.</t>
  </si>
  <si>
    <t xml:space="preserve">Incluye: Recomendación con justificación, ADR-001 y DDL de auditoria.
No incluye: Implementación de la librería (TEC-002).</t>
  </si>
  <si>
    <t xml:space="preserve">auditoria</t>
  </si>
  <si>
    <t xml:space="preserve">Requiere validación de Seguridad y Auditoría.</t>
  </si>
  <si>
    <t xml:space="preserve">Recomendación: una tabla común (ADR-001, decisión 5). Falta validación de Seguridad y Auditoría.</t>
  </si>
  <si>
    <t xml:space="preserve">Validación de Seguridad y Auditoría</t>
  </si>
  <si>
    <t xml:space="preserve">TEC-018</t>
  </si>
  <si>
    <t xml:space="preserve">Estrategia de crecimiento de BITACORA_EVENTO</t>
  </si>
  <si>
    <t xml:space="preserve">Ximena Williams / DBA</t>
  </si>
  <si>
    <t xml:space="preserve">Definir cómo crece la bitácora en el tiempo sin perder rendimiento ni integridad.</t>
  </si>
  <si>
    <t xml:space="preserve">Incluye: Comparar opciones, decidir con DBA y Seguridad, ajustar DDL y ADR-002.
No incluye: Monitoreo general de Aurora (TEC-014).</t>
  </si>
  <si>
    <t xml:space="preserve">Escribe: auditoria.BITACORA_EVENTO</t>
  </si>
  <si>
    <t xml:space="preserve">MySQL no permite FK en tablas particionadas y exige la fecha en la llave primaria.</t>
  </si>
  <si>
    <t xml:space="preserve">MySQL no permite FK en tablas particionadas y exige la fecha en la llave primaria. Opción A: particionar por mes, quitar la FK a TIPO_EVENTO (la valida lib-bitacora) y PK (id_bitacora, Fecha_evento_utc). Opción B: no particionar; archivado y retención por job. Actualizar ADR-002 con lo que se decida.</t>
  </si>
  <si>
    <t xml:space="preserve">D10</t>
  </si>
  <si>
    <t xml:space="preserve">TEC-024</t>
  </si>
  <si>
    <t xml:space="preserve">BELCMW-5</t>
  </si>
  <si>
    <t xml:space="preserve">BELCMW-2 Acceso y contexto de administradores</t>
  </si>
  <si>
    <t xml:space="preserve">Gestión de token del administrador</t>
  </si>
  <si>
    <t xml:space="preserve">Backend + Identidad</t>
  </si>
  <si>
    <t xml:space="preserve">David Ríos / Gustavo</t>
  </si>
  <si>
    <t xml:space="preserve">Resolver la historia BELCMW-5 según el tipo de token que defina la PO.</t>
  </si>
  <si>
    <t xml:space="preserve">Incluye: Según D6: reenvío de invitación o uso del soft token existente.
No incluye: Crear un soft token nuevo para BELC.</t>
  </si>
  <si>
    <t xml:space="preserve">Endpoint: Por definir
Escribe: Por definir
Bitácora: INVITACION_REENVIADA</t>
  </si>
  <si>
    <t xml:space="preserve">ms-identidad / ForgeRock</t>
  </si>
  <si>
    <t xml:space="preserve">Solo datos del grupo económico de la sesión (403 si no). Escribe solo en belc y en auditoria (INSERT). Errores en formato RFC 7807 con correlationId.</t>
  </si>
  <si>
    <t xml:space="preserve">Si es token de invitación: vencimiento de 72 h y reenvío que genera un Token_hash nuevo. Si es soft token: se reutiliza el del celular (uno por celular), sin tabla en BELC.</t>
  </si>
  <si>
    <t xml:space="preserve">D6</t>
  </si>
  <si>
    <t xml:space="preserve">TEC-002</t>
  </si>
  <si>
    <t xml:space="preserve">Librería compartida de bitácora</t>
  </si>
  <si>
    <t xml:space="preserve">Backend</t>
  </si>
  <si>
    <t xml:space="preserve">Que todos los servicios registren los eventos de la misma forma en la bitácora común.</t>
  </si>
  <si>
    <t xml:space="preserve">Incluye: Registro exitoso, fallido y denegado; hash del registro.
No incluye: Consultas o reportes sobre la bitácora.</t>
  </si>
  <si>
    <t xml:space="preserve">Endpoint: — (librería)
Escribe: auditoria.BITACORA_EVENTO
Lee: auditoria.TIPO_EVENTO
Bitácora: Todos</t>
  </si>
  <si>
    <t xml:space="preserve">lib-bitacora</t>
  </si>
  <si>
    <t xml:space="preserve">Solo INSERT. Nunca guarda tokens, OTP ni números de cuenta completos. Solo datos del grupo económico de la sesión (403 si no). Escribe solo en belc y en auditoria (INSERT). Errores en formato RFC 7807 con correlationId.</t>
  </si>
  <si>
    <t xml:space="preserve">Solo INSERT. Misma transacción en operaciones exitosas; transacción propia en fallos (403, 504, validación). Llena Canal, Contexto, Identity_id, id_sesion, id_correlacion. Hash_registro SHA-256. Nunca guarda tokens, OTP ni cuentas completas.</t>
  </si>
  <si>
    <t xml:space="preserve">TEC-003</t>
  </si>
  <si>
    <t xml:space="preserve">Servicio de catálogos</t>
  </si>
  <si>
    <t xml:space="preserve">Que las pantallas y servicios obtengan los catálogos (monedas, perfiles, permisos, tipos) de un solo lugar.</t>
  </si>
  <si>
    <t xml:space="preserve">Incluye: Endpoint de lectura de catálogos activos.
No incluye: Mantenimiento de catálogos (se cargan por Liquibase).</t>
  </si>
  <si>
    <t xml:space="preserve">Endpoint: GET /v1/catalogos/{tipo}
Lee: Tipo_documento, moneda, Tipo_transaccion, perfil, permiso, Tipo_visualizacion, Tipo_producto</t>
  </si>
  <si>
    <t xml:space="preserve">ms-catalogos · COBIS · ForgeRock</t>
  </si>
  <si>
    <t xml:space="preserve">Solo valores ACTIVO. permisos devuelve Categoria. Tipo desconocido → 404. Sin llamadas a COBIS ni ForgeRock.</t>
  </si>
  <si>
    <t xml:space="preserve">TEC-004</t>
  </si>
  <si>
    <t xml:space="preserve">Validación de sesión, persona, grupo y permisos (middleware)</t>
  </si>
  <si>
    <t xml:space="preserve">Que ningún servicio responda datos de un grupo económico a quien no pertenece a él o no tiene el permiso.</t>
  </si>
  <si>
    <t xml:space="preserve">Incluye: Validación de token, persona, relación con el grupo y permiso; registro de 403.
No incluye: Reglas propias de cada pantalla o servicio.</t>
  </si>
  <si>
    <t xml:space="preserve">Endpoint: — (middleware)
Lee: belc_persona_canal, Usuario_grupo_economico, role, Rol_permiso, permiso
Bitácora: ACCESO_DENEGADO</t>
  </si>
  <si>
    <t xml:space="preserve">Librería común de los microservicios</t>
  </si>
  <si>
    <t xml:space="preserve">TEC-002, TEC-010</t>
  </si>
  <si>
    <t xml:space="preserve">Valida audiencia y belc_enabled del token de sesión. Persona sin fila o Estado_canal INACTIVO → 403. Sin relación ACTIVA con el grupo de la URL → 403 aunque tenga el permiso. Cada 403 se registra (ACCESO_DENEGADO).</t>
  </si>
  <si>
    <t xml:space="preserve">D2 cambia el nombre de la llave si se elige id_persona · Puede iniciar con contratos y mocks de TEC-002, TEC-010; la integración espera que estén terminadas.</t>
  </si>
  <si>
    <t xml:space="preserve">TEC-006</t>
  </si>
  <si>
    <t xml:space="preserve">Registro local de la persona y refresco del nombre</t>
  </si>
  <si>
    <t xml:space="preserve">Que BELC conozca a la persona (identity_id y nombre) sin guardar datos sensibles de ForgeRock.</t>
  </si>
  <si>
    <t xml:space="preserve">Incluye: Alta de la persona en belc_persona_canal y actualización del nombre.
No incluye: Datos sensibles de ForgeRock (documento, correo de seguridad, teléfono).</t>
  </si>
  <si>
    <t xml:space="preserve">Endpoint: — (en vinculación y login)
Escribe: belc_persona_canal
Lee: belc_persona_canal</t>
  </si>
  <si>
    <t xml:space="preserve">ms-identidad</t>
  </si>
  <si>
    <t xml:space="preserve">No guarda documento, correo de seguridad ni teléfono. Solo datos del grupo económico de la sesión (403 si no). Escribe solo en belc y en auditoria (INSERT). Errores en formato RFC 7807 con correlationId.</t>
  </si>
  <si>
    <t xml:space="preserve">Inserta si no existe; si existe no duplica ni cambia Fecha_creacion. En cada login actualiza Nombre_mostrar solo si cambió. No guarda documento, correo de seguridad ni teléfono.</t>
  </si>
  <si>
    <t xml:space="preserve">D2</t>
  </si>
  <si>
    <t xml:space="preserve">TEC-011</t>
  </si>
  <si>
    <t xml:space="preserve">Login de empleados del banco en el BackOffice BELC</t>
  </si>
  <si>
    <t xml:space="preserve">Backend + Front BO</t>
  </si>
  <si>
    <t xml:space="preserve">Que los empleados del banco entren al BackOffice de BELC con sus usuarios y roles actuales.</t>
  </si>
  <si>
    <t xml:space="preserve">Incluye: Login de empleados y lectura de sus roles de BELP.
No incluye: Tablas nuevas de empleados.</t>
  </si>
  <si>
    <t xml:space="preserve">Lee: belp.mdl02_employee y tablas de roles mdl02_ (solo SELECT)
Bitácora: LOGIN_EXITOSO</t>
  </si>
  <si>
    <t xml:space="preserve">BackOffice BELC · BELP (solo lectura)</t>
  </si>
  <si>
    <t xml:space="preserve">Solo SELECT sobre las tablas mdl02_ de BELP (pendiente confirmación, D7). Solo empleados del banco con permiso de BackOffice. Escribe solo en belc y en auditoria (INSERT). Errores en formato RFC 7807 con correlationId.</t>
  </si>
  <si>
    <t xml:space="preserve">Reutiliza los empleados de BELP; sin tabla nueva de empleados.</t>
  </si>
  <si>
    <t xml:space="preserve">D7</t>
  </si>
  <si>
    <t xml:space="preserve">TEC-015</t>
  </si>
  <si>
    <t xml:space="preserve">Adaptador de notificaciones por correo</t>
  </si>
  <si>
    <t xml:space="preserve">Que los servicios envíen correos de negocio y de seguridad por un único adaptador.</t>
  </si>
  <si>
    <t xml:space="preserve">Incluye: Envío por plantilla a correo de negocio o de seguridad.
No incluye: Contenido de las plantillas (lo define negocio).</t>
  </si>
  <si>
    <t xml:space="preserve">Endpoint: — (interno)
Lee: Contacto_notificacion, afiliacion</t>
  </si>
  <si>
    <t xml:space="preserve">ms-notificaciones · ForgeRock</t>
  </si>
  <si>
    <t xml:space="preserve">Avisos de negocio al correo de la relación (Contacto_notificacion); avisos de seguridad al correo de ForgeRock.</t>
  </si>
  <si>
    <t xml:space="preserve">D9</t>
  </si>
  <si>
    <t xml:space="preserve">TEC-007</t>
  </si>
  <si>
    <t xml:space="preserve">BackOffice: crear grupo económico</t>
  </si>
  <si>
    <t xml:space="preserve">Alfredo Pinzón / Chaidir Charpenter</t>
  </si>
  <si>
    <t xml:space="preserve">Que el banco pueda crear el grupo económico de un cliente comercial.</t>
  </si>
  <si>
    <t xml:space="preserve">Incluye: Crear grupo con su tipo de administración y el rol administrador inicial; pantalla de BackOffice.
No incluye: Edición o baja de grupos.</t>
  </si>
  <si>
    <t xml:space="preserve">Endpoint: POST /v1/grupos-economicos
Escribe: Grupo_economico, role (administrador inicial)
Bitácora: GRUPO_ECONOMICO_CREADO</t>
  </si>
  <si>
    <t xml:space="preserve">ms-grupos-economicos</t>
  </si>
  <si>
    <t xml:space="preserve">TEC-002, TEC-011</t>
  </si>
  <si>
    <t xml:space="preserve">Solo empleados del banco con permiso de BackOffice. Escribe solo en belc y en auditoria (INSERT). Errores en formato RFC 7807 con correlationId.</t>
  </si>
  <si>
    <t xml:space="preserve">Tipo_administracion I o D. Nombre único sin importar mayúsculas (409). Crea en la misma transacción el rol administrador inicial del grupo. Devuelve idGrupoEconomico.</t>
  </si>
  <si>
    <t xml:space="preserve">Sin historia de la PO (ver Brechas) · Puede iniciar con contratos y mocks de TEC-002, TEC-011; la integración espera que estén terminadas. Ojo: TEC-011 espera decisión.</t>
  </si>
  <si>
    <t xml:space="preserve">TEC-008</t>
  </si>
  <si>
    <t xml:space="preserve">BackOffice: buscar y vincular empresas desde COBIS</t>
  </si>
  <si>
    <t xml:space="preserve">Jonathan Vargas / Rusbenin Chinchilla</t>
  </si>
  <si>
    <t xml:space="preserve">Que el banco vincule al grupo las empresas que existen en COBIS.</t>
  </si>
  <si>
    <t xml:space="preserve">Incluye: Búsqueda en COBIS y vinculación de empresas al grupo; pantalla de BackOffice.
No incluye: Desvincular empresas.</t>
  </si>
  <si>
    <t xml:space="preserve">Endpoint: GET /v1/empresas-core?identificacion= · POST /v1/grupos-economicos/{id}/empresas
Escribe: Empresas_asociadas
Lee: Grupo_economico
Bitácora: EMPRESA_VINCULADA</t>
  </si>
  <si>
    <t xml:space="preserve">ms-grupos-economicos · COBIS</t>
  </si>
  <si>
    <t xml:space="preserve">Una empresa pertenece a un solo grupo. Se vuelve a consultar COBIS al confirmar. Solo empleados del banco con permiso de BackOffice. Escribe solo en belc y en auditoria (INSERT). Errores en formato RFC 7807 con correlationId.</t>
  </si>
  <si>
    <t xml:space="preserve">Vuelve a consultar COBIS al confirmar. Una empresa en un solo grupo (409). COBIS sin respuesta → 504 y no guarda nada.</t>
  </si>
  <si>
    <t xml:space="preserve">Sin historia de la PO (ver Brechas) · Puede iniciar con contratos y mocks de TEC-012; la integración espera que estén terminadas.</t>
  </si>
  <si>
    <t xml:space="preserve">TEC-009</t>
  </si>
  <si>
    <t xml:space="preserve">BackOffice: vincular productos de la empresa</t>
  </si>
  <si>
    <t xml:space="preserve">Que el banco vincule al grupo los productos de cada empresa.</t>
  </si>
  <si>
    <t xml:space="preserve">Incluye: Consulta en COBIS y vinculación de productos; pantalla de BackOffice.
No incluye: Saldos y movimientos.</t>
  </si>
  <si>
    <t xml:space="preserve">Endpoint: GET .../empresas/{idEmpresa}/productos-core · POST .../empresas/{idEmpresa}/productos
Escribe: Producto_vinculacion (con id_grupo_economico)
Lee: Empresas_asociadas, Tipo_producto, moneda
Bitácora: PRODUCTO_VINCULADO</t>
  </si>
  <si>
    <t xml:space="preserve">Solo productos de esa empresa en COBIS. Solo número enmascarado. Solo empleados del banco con permiso de BackOffice. Escribe solo en belc y en auditoria (INSERT). Errores en formato RFC 7807 con correlationId.</t>
  </si>
  <si>
    <t xml:space="preserve">Solo productos de esa empresa en COBIS. Solo número enmascarado. No vincula dos veces (409). Varios productos: todo o nada.</t>
  </si>
  <si>
    <t xml:space="preserve">TEC-019</t>
  </si>
  <si>
    <t xml:space="preserve">BackOffice del banco: invitar al primer administrador del grupo</t>
  </si>
  <si>
    <t xml:space="preserve">Que el banco invite al primer administrador para que el cliente pueda entrar.</t>
  </si>
  <si>
    <t xml:space="preserve">Incluye: Invitación del primer administrador o de los dos si es dual; pantalla de BackOffice.
No incluye: Invitaciones de usuarios secundarios (TEC-032).</t>
  </si>
  <si>
    <t xml:space="preserve">Endpoint: POST /v1/grupos-economicos/{id}/administradores/invitaciones
Escribe: afiliacion
Lee: Grupo_economico, Empresas_asociadas, role, Tipo_documento
Bitácora: ADMINISTRADOR_INVITADO</t>
  </si>
  <si>
    <t xml:space="preserve">TEC-007, TEC-009, TEC-011</t>
  </si>
  <si>
    <t xml:space="preserve">Solo empleados del banco con permiso de BackOffice. Solo se guarda el hash del token. Solo empleados del banco con permiso de BackOffice. Escribe solo en belc y en auditoria (INSERT). Errores en formato RFC 7807 con correlationId.</t>
  </si>
  <si>
    <t xml:space="preserve">Solo un empleado del banco con permiso de BackOffice. El grupo debe tener al menos una empresa y un producto vinculados. Usa el rol administrador inicial creado con el grupo (TEC-007). Respeta Tipo_administracion: I = un administrador, D = dos. Vencimiento 72 h y solo el hash del token.</t>
  </si>
  <si>
    <t xml:space="preserve">Hereda D1 y D7; sin historia de la PO (ver Brechas)</t>
  </si>
  <si>
    <t xml:space="preserve">TEC-022</t>
  </si>
  <si>
    <t xml:space="preserve">BELCMW-4</t>
  </si>
  <si>
    <t xml:space="preserve">Validar invitación de un administrador sin usuario previo</t>
  </si>
  <si>
    <t xml:space="preserve">Que un administrador sin usuario previo valide su invitación antes de crear su identidad.</t>
  </si>
  <si>
    <t xml:space="preserve">Incluye: Validación de enrollment_id, documento y token.
No incluye: Creación de la identidad (TEC-023).</t>
  </si>
  <si>
    <t xml:space="preserve">Endpoint: POST /v1/afiliaciones/validacion
Lee: afiliacion</t>
  </si>
  <si>
    <t xml:space="preserve">ms-identidad · ForgeRock</t>
  </si>
  <si>
    <t xml:space="preserve">No revela si el documento existe. Solo datos del grupo económico de la sesión (403 si no). Escribe solo en belc y en auditoria (INSERT). Errores en formato RFC 7807 con correlationId.</t>
  </si>
  <si>
    <t xml:space="preserve">Recibe enrollment_id y documento normalizado; compara el hash del token. Responde válida sí o no, sin revelar si el documento existe.</t>
  </si>
  <si>
    <t xml:space="preserve">Coordinar con Gustavo (ForgeRock) · Puede iniciar con contratos y mocks de TEC-010; la integración espera que estén terminadas.</t>
  </si>
  <si>
    <t xml:space="preserve">TEC-023</t>
  </si>
  <si>
    <t xml:space="preserve">Pantallas del registro (rama 4b: crear identidad, OTP, contraseña)</t>
  </si>
  <si>
    <t xml:space="preserve">Frontend Web</t>
  </si>
  <si>
    <t xml:space="preserve">Isis López / Gustavo</t>
  </si>
  <si>
    <t xml:space="preserve">Que la persona invitada sin usuario pueda crear su identidad (rama 4b).</t>
  </si>
  <si>
    <t xml:space="preserve">Incluye: Pantallas de crear identidad, OTP y contraseña.
No incluye: Login de personas con usuario existente.</t>
  </si>
  <si>
    <t xml:space="preserve">Consume: POST /v1/afiliaciones/validacion (TEC-022)</t>
  </si>
  <si>
    <t xml:space="preserve">Journey de registro · ForgeRock</t>
  </si>
  <si>
    <t xml:space="preserve">Sin reglas de negocio en la pantalla: la API decide. Muestra solo lo que permite el contexto de sesión. Mismo contrato que usará la App.</t>
  </si>
  <si>
    <t xml:space="preserve">Mismo diseño para administrador y usuario secundario (BELCMW-46).</t>
  </si>
  <si>
    <t xml:space="preserve">TEC-020</t>
  </si>
  <si>
    <t xml:space="preserve">BELCMW-1</t>
  </si>
  <si>
    <t xml:space="preserve">Vincular la persona al aceptar la invitación (nodo 200)</t>
  </si>
  <si>
    <t xml:space="preserve">Que al aceptar la invitación la persona quede vinculada a su grupo económico con su rol.</t>
  </si>
  <si>
    <t xml:space="preserve">Incluye: Vinculación idempotente, alta de administrador si aplica y correo de negocio verificado.
No incluye: Envío del correo de invitación (TEC-034).</t>
  </si>
  <si>
    <t xml:space="preserve">Endpoint: POST /v1/afiliaciones/{enrollmentId}/vinculacion
Escribe: afiliacion (COMPLETADA), belc_persona_canal, Usuario_grupo_economico, Grupo_economico_administrador, Contacto_notificacion
Lee: afiliacion
Bitácora: AFILIACION_COMPLETADA</t>
  </si>
  <si>
    <t xml:space="preserve">TEC-006, TEC-010, TEC-019, TEC-026</t>
  </si>
  <si>
    <t xml:space="preserve">Idempotente por enrollment_id. Solo datos del grupo económico de la sesión (403 si no). Escribe solo en belc y en auditoria (INSERT). Errores en formato RFC 7807 con correlationId.</t>
  </si>
  <si>
    <t xml:space="preserve">Valida invitación vigente y no usada. Idempotente por enrollment_id. Si el rol es de administrador, crea Grupo_economico_administrador. Guarda el correo verificado por OTP en Contacto_notificacion.</t>
  </si>
  <si>
    <t xml:space="preserve">D1, D2 · coordinar con Gustavo (ForgeRock)</t>
  </si>
  <si>
    <t xml:space="preserve">TEC-021</t>
  </si>
  <si>
    <t xml:space="preserve">Pantalla de aceptación de invitación y paso al journey</t>
  </si>
  <si>
    <t xml:space="preserve">Que la persona abra el enlace de invitación y siga al registro o al login.</t>
  </si>
  <si>
    <t xml:space="preserve">Incluye: Pantalla de aceptación, mensajes de invitación vencida o inválida.
No incluye: Pantallas del journey (TEC-023).</t>
  </si>
  <si>
    <t xml:space="preserve">Consume: POST /v1/afiliaciones/{enrollmentId}/vinculacion (TEC-020)</t>
  </si>
  <si>
    <t xml:space="preserve">Web BELC · ForgeRock</t>
  </si>
  <si>
    <t xml:space="preserve">Recibe el enlace con enrollment_id y token; muestra invitación vencida o inválida con mensaje genérico.</t>
  </si>
  <si>
    <t xml:space="preserve">Coordinar con Gustavo (ForgeRock) · Puede iniciar con contratos y mocks de TEC-020; la integración espera que estén terminadas. Ojo: TEC-020 espera decisión.</t>
  </si>
  <si>
    <t xml:space="preserve">TEC-005</t>
  </si>
  <si>
    <t xml:space="preserve">Servicio de contexto de sesión</t>
  </si>
  <si>
    <t xml:space="preserve">Que el canal sepa en qué contexto está la persona, qué contextos tiene y qué puede hacer.</t>
  </si>
  <si>
    <t xml:space="preserve">Incluye: Consulta del contexto activo, contextos disponibles, permisos y productos.
No incluye: Cambio de contexto (TEC-100).</t>
  </si>
  <si>
    <t xml:space="preserve">Endpoint: GET /v1/sesion/contexto
Lee: Usuario_grupo_economico, Grupo_economico, role, perfil, Rol_permiso, permiso, Rol_grupo_producto, Grupo_producto, Grupo_economico_administrador, Tipo_visualizacion</t>
  </si>
  <si>
    <t xml:space="preserve">Devuelve contexto activo, contextos disponibles (PERSONAL solo si belp_enabled = true), permisos, grupos de productos y esAdministrador. Formato igual a los ejemplos de UX.</t>
  </si>
  <si>
    <t xml:space="preserve">D1, D3</t>
  </si>
  <si>
    <t xml:space="preserve">TEC-025</t>
  </si>
  <si>
    <t xml:space="preserve">BELCMW-7</t>
  </si>
  <si>
    <t xml:space="preserve">BELCMW-6 Acceso al módulo de Administración</t>
  </si>
  <si>
    <t xml:space="preserve">Mostrar el módulo de Administración solo con permisos administrativos</t>
  </si>
  <si>
    <t xml:space="preserve">Que solo vea el módulo de Administración quien tiene permisos administrativos.</t>
  </si>
  <si>
    <t xml:space="preserve">Incluye: Mostrar u ocultar el menú según el contexto de sesión.
No incluye: Validación del permiso en la API (TEC-004).</t>
  </si>
  <si>
    <t xml:space="preserve">Endpoint: GET /v1/sesion/contexto</t>
  </si>
  <si>
    <t xml:space="preserve">Web BELC</t>
  </si>
  <si>
    <t xml:space="preserve">El menú aparece si esAdministrador o si hay permisos de categoría ADMINISTRATIVO. La API rechaza igual (403) aunque se fuerce la URL.</t>
  </si>
  <si>
    <t xml:space="preserve">Hereda D1 y D3 de TEC-005</t>
  </si>
  <si>
    <t xml:space="preserve">TEC-070</t>
  </si>
  <si>
    <t xml:space="preserve">BELCMW-28, BELCMW-29</t>
  </si>
  <si>
    <t xml:space="preserve">BELCMW-27 Gestión de grupos de productos</t>
  </si>
  <si>
    <t xml:space="preserve">Listar y buscar grupos de productos</t>
  </si>
  <si>
    <t xml:space="preserve">Que el administrador consulte los grupos de productos de su grupo económico.</t>
  </si>
  <si>
    <t xml:space="preserve">Incluye: Listar y buscar grupos de productos: endpoint, validaciones y bitácora.
No incluye: La pantalla (TEC-071).</t>
  </si>
  <si>
    <t xml:space="preserve">Endpoint: GET /v1/grupos-economicos/{id}/grupos-productos?texto=
Lee: Grupo_producto, Grupo_producto_detalle, Producto_vinculacion, Tipo_producto, Empresas_asociadas</t>
  </si>
  <si>
    <t xml:space="preserve">ms-autogestion</t>
  </si>
  <si>
    <t xml:space="preserve">Formato de tu contrato (paso 1), con productosDisponiblesSinGrupo.</t>
  </si>
  <si>
    <t xml:space="preserve">Puede iniciar con contratos y mocks de TEC-004; la integración espera que estén terminadas.</t>
  </si>
  <si>
    <t xml:space="preserve">TEC-071</t>
  </si>
  <si>
    <t xml:space="preserve">Pantalla de listado y búsqueda de grupos de productos</t>
  </si>
  <si>
    <t xml:space="preserve">Que el administrador vea y busque sus grupos de productos.</t>
  </si>
  <si>
    <t xml:space="preserve">Incluye: Pantalla Web: pantalla de listado y búsqueda de grupos de productos.
No incluye: App (otro tablero); el servicio (TEC-070).</t>
  </si>
  <si>
    <t xml:space="preserve">Consume: GET /v1/grupos-economicos/{id}/grupos-productos?texto= (TEC-070)</t>
  </si>
  <si>
    <t xml:space="preserve">Lista con cantidad de productos por grupo y los productos sin grupo. Búsqueda por nombre. Número de cuenta siempre enmascarado.</t>
  </si>
  <si>
    <t xml:space="preserve">Puede iniciar con contratos y mocks de TEC-070; la integración espera que estén terminadas.</t>
  </si>
  <si>
    <t xml:space="preserve">TEC-072</t>
  </si>
  <si>
    <t xml:space="preserve">BELCMW-30</t>
  </si>
  <si>
    <t xml:space="preserve">Crear grupo de productos</t>
  </si>
  <si>
    <t xml:space="preserve">Que el administrador agrupe productos para asignarlos luego a roles.</t>
  </si>
  <si>
    <t xml:space="preserve">Incluye: Crear grupo de productos: endpoint, validaciones y bitácora.
No incluye: La pantalla (TEC-073).</t>
  </si>
  <si>
    <t xml:space="preserve">Endpoint: POST /v1/grupos-economicos/{id}/grupos-productos
Escribe: Grupo_producto, Grupo_producto_detalle (con id_grupo_economico)
Lee: Producto_vinculacion
Bitácora: GRUPO_PRODUCTOS_CREADO</t>
  </si>
  <si>
    <t xml:space="preserve">TEC-004, TEC-009</t>
  </si>
  <si>
    <t xml:space="preserve">Solo productos ACTIVO del mismo grupo económico (FK compuesta). Puede mezclar empresas del grupo. Nombre único por grupo.</t>
  </si>
  <si>
    <t xml:space="preserve">Puede iniciar con contratos y mocks de TEC-004, TEC-009; la integración espera que estén terminadas.</t>
  </si>
  <si>
    <t xml:space="preserve">TEC-073</t>
  </si>
  <si>
    <t xml:space="preserve">Pantalla de creación de grupo de productos</t>
  </si>
  <si>
    <t xml:space="preserve">Que el administrador cree un grupo de productos desde la Web.</t>
  </si>
  <si>
    <t xml:space="preserve">Incluye: Pantalla Web: pantalla de creación de grupo de productos.
No incluye: App (otro tablero); el servicio (TEC-072).</t>
  </si>
  <si>
    <t xml:space="preserve">Consume: POST /v1/grupos-economicos/{id}/grupos-productos (TEC-072)</t>
  </si>
  <si>
    <t xml:space="preserve">Selector de productos del grupo económico, agrupados por empresa. Exige nombre y al menos un producto. Nombre duplicado (409) → mensaje en el campo.</t>
  </si>
  <si>
    <t xml:space="preserve">Puede iniciar con contratos y mocks de TEC-072; la integración espera que estén terminadas.</t>
  </si>
  <si>
    <t xml:space="preserve">TEC-074</t>
  </si>
  <si>
    <t xml:space="preserve">BELCMW-31</t>
  </si>
  <si>
    <t xml:space="preserve">Consultar detalle de grupo de productos</t>
  </si>
  <si>
    <t xml:space="preserve">Que el administrador consulte un grupo de productos y quién lo usa.</t>
  </si>
  <si>
    <t xml:space="preserve">Incluye: Consultar detalle de grupo de productos: endpoint, validaciones y bitácora.
No incluye: La pantalla (TEC-075).</t>
  </si>
  <si>
    <t xml:space="preserve">Endpoint: GET /v1/grupos-economicos/{id}/grupos-productos/{idGrupoProducto}
Lee: Grupo_producto, Grupo_producto_detalle, Producto_vinculacion, Rol_grupo_producto</t>
  </si>
  <si>
    <t xml:space="preserve">Incluye los roles que lo usan.</t>
  </si>
  <si>
    <t xml:space="preserve">TEC-075</t>
  </si>
  <si>
    <t xml:space="preserve">Pantalla de detalle de grupo de productos</t>
  </si>
  <si>
    <t xml:space="preserve">Que el administrador vea el detalle de un grupo de productos.</t>
  </si>
  <si>
    <t xml:space="preserve">Incluye: Pantalla Web: pantalla de detalle de grupo de productos.
No incluye: App (otro tablero); el servicio (TEC-074).</t>
  </si>
  <si>
    <t xml:space="preserve">Consume: GET /v1/grupos-economicos/{id}/grupos-productos/{idGrupoProducto} (TEC-074)</t>
  </si>
  <si>
    <t xml:space="preserve">Muestra productos (enmascarados) y los roles que usan el grupo.</t>
  </si>
  <si>
    <t xml:space="preserve">Puede iniciar con contratos y mocks de TEC-074; la integración espera que estén terminadas.</t>
  </si>
  <si>
    <t xml:space="preserve">TEC-076</t>
  </si>
  <si>
    <t xml:space="preserve">BELCMW-32</t>
  </si>
  <si>
    <t xml:space="preserve">Modificar grupo de productos</t>
  </si>
  <si>
    <t xml:space="preserve">Que el administrador cambie los productos de un grupo sin pisar cambios de otro administrador.</t>
  </si>
  <si>
    <t xml:space="preserve">Incluye: Modificar grupo de productos: endpoint, validaciones y bitácora.
No incluye: La pantalla (TEC-077).</t>
  </si>
  <si>
    <t xml:space="preserve">Endpoint: PUT /v1/grupos-economicos/{id}/grupos-productos/{idGrupoProducto}
Escribe: Grupo_producto, Grupo_producto_detalle
Lee: Producto_vinculacion
Bitácora: GRUPO_PRODUCTOS_EDITADO</t>
  </si>
  <si>
    <t xml:space="preserve">Concurrencia optimista con Version. Solo datos del grupo económico de la sesión (403 si no). Escribe solo en belc y en auditoria (INSERT). Errores en formato RFC 7807 con correlationId.</t>
  </si>
  <si>
    <t xml:space="preserve">UPDATE con WHERE Version (409). Un cambio en el detalle sube Grupo_producto.Version.</t>
  </si>
  <si>
    <t xml:space="preserve">TEC-077</t>
  </si>
  <si>
    <t xml:space="preserve">Pantalla de modificación de grupo de productos</t>
  </si>
  <si>
    <t xml:space="preserve">Que el administrador modifique un grupo de productos desde la Web.</t>
  </si>
  <si>
    <t xml:space="preserve">Incluye: Pantalla Web: pantalla de modificación de grupo de productos.
No incluye: App (otro tablero); el servicio (TEC-076).</t>
  </si>
  <si>
    <t xml:space="preserve">Consume: PUT /v1/grupos-economicos/{id}/grupos-productos/{idGrupoProducto} (TEC-076)</t>
  </si>
  <si>
    <t xml:space="preserve">Envía Version; si responde 409, avisa que otro administrador lo cambió y recarga.</t>
  </si>
  <si>
    <t xml:space="preserve">Puede iniciar con contratos y mocks de TEC-076; la integración espera que estén terminadas.</t>
  </si>
  <si>
    <t xml:space="preserve">TEC-078</t>
  </si>
  <si>
    <t xml:space="preserve">BELCMW-33</t>
  </si>
  <si>
    <t xml:space="preserve">Eliminar grupo de productos</t>
  </si>
  <si>
    <t xml:space="preserve">Que el administrador dé de baja un grupo de productos que ya no se usa.</t>
  </si>
  <si>
    <t xml:space="preserve">Incluye: Eliminar grupo de productos: endpoint, validaciones y bitácora.
No incluye: La pantalla (TEC-079).</t>
  </si>
  <si>
    <t xml:space="preserve">Endpoint: DELETE /v1/grupos-economicos/{id}/grupos-productos/{idGrupoProducto}
Escribe: Grupo_producto (Estado = INACTIVO)
Lee: Rol_grupo_producto
Bitácora: GRUPO_PRODUCTOS_ELIMINADO</t>
  </si>
  <si>
    <t xml:space="preserve">Baja lógica (Estado = INACTIVO), nunca DELETE físico. Solo datos del grupo económico de la sesión (403 si no). Escribe solo en belc y en auditoria (INSERT). Errores en formato RFC 7807 con correlationId.</t>
  </si>
  <si>
    <t xml:space="preserve">Baja lógica. Si está asignado a algún rol → 409.</t>
  </si>
  <si>
    <t xml:space="preserve">TEC-079</t>
  </si>
  <si>
    <t xml:space="preserve">Confirmación de eliminación de grupo de productos</t>
  </si>
  <si>
    <t xml:space="preserve">Que la baja de un grupo de productos se confirme y explique cuando no es posible.</t>
  </si>
  <si>
    <t xml:space="preserve">Incluye: Pantalla Web: confirmación de eliminación de grupo de productos.
No incluye: App (otro tablero); el servicio (TEC-078).</t>
  </si>
  <si>
    <t xml:space="preserve">Consume: DELETE /v1/grupos-economicos/{id}/grupos-productos/{idGrupoProducto} (TEC-078)</t>
  </si>
  <si>
    <t xml:space="preserve">Pide confirmación. Si está asignado a roles (409), muestra cuáles y no elimina.</t>
  </si>
  <si>
    <t xml:space="preserve">Puede iniciar con contratos y mocks de TEC-078; la integración espera que estén terminadas.</t>
  </si>
  <si>
    <t xml:space="preserve">TEC-054</t>
  </si>
  <si>
    <t xml:space="preserve">BELCMW-21, BELCMW-22, BELCMW-23</t>
  </si>
  <si>
    <t xml:space="preserve">BELCMW-17 Gestión de roles</t>
  </si>
  <si>
    <t xml:space="preserve">Permisos por perfil: Creador, Aprobador y Ejecutor</t>
  </si>
  <si>
    <t xml:space="preserve">Backend + BD</t>
  </si>
  <si>
    <t xml:space="preserve">Que cada perfil tenga definido qué permisos puede otorgar un rol.</t>
  </si>
  <si>
    <t xml:space="preserve">Incluye: Carga inicial de perfil_permiso y endpoint de consulta por perfil.
No incluye: Perfil EJECUTOR hasta cerrar D5.</t>
  </si>
  <si>
    <t xml:space="preserve">Endpoint: GET /v1/catalogos/perfiles/{codigo}/permisos
Escribe: perfil_permiso (carga inicial)
Lee: perfil, permiso</t>
  </si>
  <si>
    <t xml:space="preserve">ms-catalogos</t>
  </si>
  <si>
    <t xml:space="preserve">TEC-003, TEC-016</t>
  </si>
  <si>
    <t xml:space="preserve">Carga inicial por Liquibase. El perfil EJECUTOR no existe hoy en los contratos (solo CREADOR y APROBADOR).</t>
  </si>
  <si>
    <t xml:space="preserve">D5</t>
  </si>
  <si>
    <t xml:space="preserve">TEC-055</t>
  </si>
  <si>
    <t xml:space="preserve">Pantalla de permisos por perfil</t>
  </si>
  <si>
    <t xml:space="preserve">Que se vean los permisos permitidos por cada perfil.</t>
  </si>
  <si>
    <t xml:space="preserve">Incluye: Vista de permisos por perfil.
No incluye: Edición si D5 decide que solo el banco define permisos.</t>
  </si>
  <si>
    <t xml:space="preserve">Consume: GET /v1/catalogos/perfiles/{codigo}/permisos (TEC-054)</t>
  </si>
  <si>
    <t xml:space="preserve">Muestra los permisos de cada perfil en modo lectura o edición según D5. Sin perfil EJECUTOR hasta que se defina D5.</t>
  </si>
  <si>
    <t xml:space="preserve">TEC-050</t>
  </si>
  <si>
    <t xml:space="preserve">BELCMW-18, BELCMW-19</t>
  </si>
  <si>
    <t xml:space="preserve">Listar y buscar roles</t>
  </si>
  <si>
    <t xml:space="preserve">Que el administrador consulte los roles de su grupo económico.</t>
  </si>
  <si>
    <t xml:space="preserve">Incluye: Listar y buscar roles: endpoint, validaciones y bitácora.
No incluye: La pantalla (TEC-051).</t>
  </si>
  <si>
    <t xml:space="preserve">Endpoint: GET /v1/grupos-economicos/{id}/roles?texto=
Lee: role, perfil, Rol_permiso, permiso, Rol_grupo_producto, Grupo_producto</t>
  </si>
  <si>
    <t xml:space="preserve">Formato de tu contrato (paso 2): permisos administrativos y monetarios separados.</t>
  </si>
  <si>
    <t xml:space="preserve">TEC-051</t>
  </si>
  <si>
    <t xml:space="preserve">Pantalla de listado y búsqueda de roles</t>
  </si>
  <si>
    <t xml:space="preserve">Que el administrador vea y busque sus roles.</t>
  </si>
  <si>
    <t xml:space="preserve">Incluye: Pantalla Web: pantalla de listado y búsqueda de roles.
No incluye: App (otro tablero); el servicio (TEC-050).</t>
  </si>
  <si>
    <t xml:space="preserve">Consume: GET /v1/grupos-economicos/{id}/roles?texto= (TEC-050)</t>
  </si>
  <si>
    <t xml:space="preserve">Lista con perfil y permisos administrativos y monetarios separados. Búsqueda por nombre. Botón Crear solo con permiso.</t>
  </si>
  <si>
    <t xml:space="preserve">Puede iniciar con contratos y mocks de TEC-050; la integración espera que estén terminadas.</t>
  </si>
  <si>
    <t xml:space="preserve">TEC-052</t>
  </si>
  <si>
    <t xml:space="preserve">BELCMW-20</t>
  </si>
  <si>
    <t xml:space="preserve">Crear rol</t>
  </si>
  <si>
    <t xml:space="preserve">Que el administrador cree roles con permisos y grupos de productos válidos.</t>
  </si>
  <si>
    <t xml:space="preserve">Incluye: Crear rol: endpoint, validaciones y bitácora.
No incluye: La pantalla (TEC-053).</t>
  </si>
  <si>
    <t xml:space="preserve">Endpoint: POST /v1/grupos-economicos/{id}/roles
Escribe: role, Rol_permiso, Rol_grupo_producto (con id_grupo_economico)
Lee: perfil, perfil_permiso, permiso, Grupo_producto
Bitácora: ROL_CREADO</t>
  </si>
  <si>
    <t xml:space="preserve">TEC-003, TEC-004</t>
  </si>
  <si>
    <t xml:space="preserve">Permisos dentro de los de su perfil. Codigo_role único por grupo. Solo datos del grupo económico de la sesión (403 si no). Escribe solo en belc y en auditoria (INSERT). Errores en formato RFC 7807 con correlationId.</t>
  </si>
  <si>
    <t xml:space="preserve">Los permisos del rol deben estar dentro de los permitidos para su perfil (perfil_permiso). Grupos de productos del mismo grupo (FK compuesta). Codigo_role único por grupo (uq_role_codigo) → 409; el nombre puede repetirse. Si exige grupo de productos depende de D12.</t>
  </si>
  <si>
    <t xml:space="preserve">D12 solo para la regla del grupo de productos · Puede iniciar con contratos y mocks de TEC-003, TEC-004; la integración espera que estén terminadas.</t>
  </si>
  <si>
    <t xml:space="preserve">TEC-053</t>
  </si>
  <si>
    <t xml:space="preserve">Pantalla de creación de rol</t>
  </si>
  <si>
    <t xml:space="preserve">Que el administrador cree un rol desde la Web.</t>
  </si>
  <si>
    <t xml:space="preserve">Incluye: Pantalla Web: pantalla de creación de rol.
No incluye: App (otro tablero); el servicio (TEC-052).</t>
  </si>
  <si>
    <t xml:space="preserve">Consume: POST /v1/grupos-economicos/{id}/roles (TEC-052)</t>
  </si>
  <si>
    <t xml:space="preserve">Al elegir el perfil solo ofrece sus permisos. Exige al menos un permiso; el grupo de productos según D12. Código duplicado en el grupo (409) → mensaje en el campo Código.</t>
  </si>
  <si>
    <t xml:space="preserve">D12 solo para la regla del grupo de productos · Puede iniciar con contratos y mocks de TEC-052; la integración espera que estén terminadas.</t>
  </si>
  <si>
    <t xml:space="preserve">TEC-056</t>
  </si>
  <si>
    <t xml:space="preserve">BELCMW-24</t>
  </si>
  <si>
    <t xml:space="preserve">Consultar detalle de rol</t>
  </si>
  <si>
    <t xml:space="preserve">Que el administrador consulte un rol y cuántos usuarios lo tienen.</t>
  </si>
  <si>
    <t xml:space="preserve">Incluye: Consultar detalle de rol: endpoint, validaciones y bitácora.
No incluye: La pantalla (TEC-057).</t>
  </si>
  <si>
    <t xml:space="preserve">Endpoint: GET /v1/grupos-economicos/{id}/roles/{idRol}
Lee: role, Rol_permiso, permiso, Rol_grupo_producto, Grupo_producto, Usuario_grupo_economico</t>
  </si>
  <si>
    <t xml:space="preserve">Incluye cuántos usuarios lo tienen asignado.</t>
  </si>
  <si>
    <t xml:space="preserve">TEC-057</t>
  </si>
  <si>
    <t xml:space="preserve">Pantalla de detalle de rol</t>
  </si>
  <si>
    <t xml:space="preserve">Que el administrador vea el detalle de un rol.</t>
  </si>
  <si>
    <t xml:space="preserve">Incluye: Pantalla Web: pantalla de detalle de rol.
No incluye: App (otro tablero); el servicio (TEC-056).</t>
  </si>
  <si>
    <t xml:space="preserve">Consume: GET /v1/grupos-economicos/{id}/roles/{idRol} (TEC-056)</t>
  </si>
  <si>
    <t xml:space="preserve">Muestra permisos, grupos de productos y cuántos usuarios tienen el rol. Editar y Eliminar visibles solo con permiso.</t>
  </si>
  <si>
    <t xml:space="preserve">Puede iniciar con contratos y mocks de TEC-056; la integración espera que estén terminadas.</t>
  </si>
  <si>
    <t xml:space="preserve">TEC-058</t>
  </si>
  <si>
    <t xml:space="preserve">BELCMW-25</t>
  </si>
  <si>
    <t xml:space="preserve">Editar rol</t>
  </si>
  <si>
    <t xml:space="preserve">Que el administrador cambie un rol sin pisar cambios de otro administrador.</t>
  </si>
  <si>
    <t xml:space="preserve">Incluye: Editar rol: endpoint, validaciones y bitácora.
No incluye: La pantalla (TEC-059).</t>
  </si>
  <si>
    <t xml:space="preserve">Endpoint: PUT /v1/grupos-economicos/{id}/roles/{idRol}
Escribe: role, Rol_permiso, Rol_grupo_producto
Lee: perfil_permiso
Bitácora: ROL_EDITADO</t>
  </si>
  <si>
    <t xml:space="preserve">UPDATE con WHERE Version; si cambió → 409. Un cambio en permisos o grupos de productos sube role.Version (regla del padre). Valor anterior y nuevo en la bitácora.</t>
  </si>
  <si>
    <t xml:space="preserve">Puede iniciar con contratos y mocks de TEC-052; la integración espera que estén terminadas.</t>
  </si>
  <si>
    <t xml:space="preserve">TEC-059</t>
  </si>
  <si>
    <t xml:space="preserve">Pantalla de edición de rol</t>
  </si>
  <si>
    <t xml:space="preserve">Que el administrador edite un rol desde la Web.</t>
  </si>
  <si>
    <t xml:space="preserve">Incluye: Pantalla Web: pantalla de edición de rol.
No incluye: App (otro tablero); el servicio (TEC-058).</t>
  </si>
  <si>
    <t xml:space="preserve">Consume: PUT /v1/grupos-economicos/{id}/roles/{idRol} (TEC-058)</t>
  </si>
  <si>
    <t xml:space="preserve">Muestra el aviso de conflicto (409).</t>
  </si>
  <si>
    <t xml:space="preserve">Puede iniciar con contratos y mocks de TEC-058; la integración espera que estén terminadas.</t>
  </si>
  <si>
    <t xml:space="preserve">TEC-060</t>
  </si>
  <si>
    <t xml:space="preserve">BELCMW-26</t>
  </si>
  <si>
    <t xml:space="preserve">Eliminar rol</t>
  </si>
  <si>
    <t xml:space="preserve">Que el administrador dé de baja un rol sin dejar usuarios huérfanos.</t>
  </si>
  <si>
    <t xml:space="preserve">Incluye: Eliminar rol: endpoint, validaciones y bitácora.
No incluye: La pantalla (TEC-061).</t>
  </si>
  <si>
    <t xml:space="preserve">Endpoint: DELETE /v1/grupos-economicos/{id}/roles/{idRol}
Escribe: role (Estado = INACTIVO)
Lee: Usuario_grupo_economico, afiliacion
Bitácora: ROL_ELIMINADO</t>
  </si>
  <si>
    <t xml:space="preserve">Baja lógica. Si tiene usuarios activos o invitaciones pendientes → 409.</t>
  </si>
  <si>
    <t xml:space="preserve">TEC-061</t>
  </si>
  <si>
    <t xml:space="preserve">Confirmación de eliminación de rol</t>
  </si>
  <si>
    <t xml:space="preserve">Que la baja de un rol se confirme y explique cuando no es posible.</t>
  </si>
  <si>
    <t xml:space="preserve">Incluye: Pantalla Web: confirmación de eliminación de rol.
No incluye: App (otro tablero); el servicio (TEC-060).</t>
  </si>
  <si>
    <t xml:space="preserve">Consume: DELETE /v1/grupos-economicos/{id}/roles/{idRol} (TEC-060)</t>
  </si>
  <si>
    <t xml:space="preserve">Pide confirmación. Si el rol tiene usuarios o invitaciones (409), muestra cuáles y no elimina.</t>
  </si>
  <si>
    <t xml:space="preserve">Puede iniciar con contratos y mocks de TEC-060; la integración espera que estén terminadas.</t>
  </si>
  <si>
    <t xml:space="preserve">TEC-030</t>
  </si>
  <si>
    <t xml:space="preserve">BELCMW-9, BELCMW-10</t>
  </si>
  <si>
    <t xml:space="preserve">BELCMW-8 Gestión de usuarios</t>
  </si>
  <si>
    <t xml:space="preserve">Servicio de listado y búsqueda de usuarios</t>
  </si>
  <si>
    <t xml:space="preserve">Que el administrador consulte los usuarios e invitaciones de su grupo.</t>
  </si>
  <si>
    <t xml:space="preserve">Incluye: Servicio de listado y búsqueda de usuarios: endpoint, validaciones y bitácora.
No incluye: La pantalla (TEC-031).</t>
  </si>
  <si>
    <t xml:space="preserve">Endpoint: GET /v1/grupos-economicos/{id}/usuarios?texto=&amp;estado=&amp;pagina=
Lee: Usuario_grupo_economico, belc_persona_canal, role, Grupo_economico_administrador, afiliacion</t>
  </si>
  <si>
    <t xml:space="preserve">ms-autogestion · ForgeRock</t>
  </si>
  <si>
    <t xml:space="preserve">Incluye invitaciones pendientes; las vencidas como INVITACION_VENCIDA. Paginado, máximo 100. Búsqueda por nombre, correo o rol. Otro grupo → 403. Sin llamadas a ForgeRock.</t>
  </si>
  <si>
    <t xml:space="preserve">TEC-031</t>
  </si>
  <si>
    <t xml:space="preserve">Pantalla de listado y búsqueda de usuarios</t>
  </si>
  <si>
    <t xml:space="preserve">Que el administrador vea y busque los usuarios de su grupo.</t>
  </si>
  <si>
    <t xml:space="preserve">Incluye: Pantalla Web: pantalla de listado y búsqueda de usuarios.
No incluye: App (otro tablero); el servicio (TEC-030).</t>
  </si>
  <si>
    <t xml:space="preserve">Consume: GET /v1/grupos-economicos/{id}/usuarios?texto=&amp;estado=&amp;pagina= (TEC-030)</t>
  </si>
  <si>
    <t xml:space="preserve">Paginado y filtro por nombre, correo, rol y estado. Muestra invitaciones pendientes y vencidas con su etiqueta. Botón Crear solo con permiso. 403 → mensaje sin datos; 504 → reintentar.</t>
  </si>
  <si>
    <t xml:space="preserve">Puede iniciar con contratos y mocks de TEC-030; la integración espera que estén terminadas.</t>
  </si>
  <si>
    <t xml:space="preserve">TEC-032</t>
  </si>
  <si>
    <t xml:space="preserve">BELCMW-11</t>
  </si>
  <si>
    <t xml:space="preserve">Servicio de invitación de usuario secundario</t>
  </si>
  <si>
    <t xml:space="preserve">Que el administrador invite a un usuario secundario con un rol del grupo.</t>
  </si>
  <si>
    <t xml:space="preserve">Incluye: Servicio de invitación de usuario secundario: endpoint, validaciones y bitácora.
No incluye: La pantalla (TEC-033).</t>
  </si>
  <si>
    <t xml:space="preserve">Endpoint: POST /v1/grupos-economicos/{id}/usuarios
Escribe: afiliacion
Lee: role, Tipo_documento, Tipo_visualizacion
Bitácora: USUARIO_INVITADO</t>
  </si>
  <si>
    <t xml:space="preserve">Solo se guarda el hash del token. Vence a las 72 h. Solo datos del grupo económico de la sesión (403 si no). Escribe solo en belc y en auditoria (INSERT). Errores en formato RFC 7807 con correlationId.</t>
  </si>
  <si>
    <t xml:space="preserve">Rol del mismo grupo (FK compuesta). Vencimiento: fecha de envío + 72 h. Guarda solo el hash del token. No duplica una invitación pendiente de la misma persona en el grupo.</t>
  </si>
  <si>
    <t xml:space="preserve">D1 · ciclo de vida del enrollment_id</t>
  </si>
  <si>
    <t xml:space="preserve">TEC-033</t>
  </si>
  <si>
    <t xml:space="preserve">Formulario de creación de usuario</t>
  </si>
  <si>
    <t xml:space="preserve">Que el administrador invite a un usuario desde la Web.</t>
  </si>
  <si>
    <t xml:space="preserve">Incluye: Pantalla Web: formulario de creación de usuario.
No incluye: App (otro tablero); el servicio (TEC-032).</t>
  </si>
  <si>
    <t xml:space="preserve">Consume: POST /v1/grupos-economicos/{id}/usuarios (TEC-032)</t>
  </si>
  <si>
    <t xml:space="preserve">Rol y tipo de visualización desde la API. Valida documento y correo antes de enviar. Botón deshabilitado mientras envía (evita doble invitación). 409 → 'ya existe una invitación pendiente'.</t>
  </si>
  <si>
    <t xml:space="preserve">D1</t>
  </si>
  <si>
    <t xml:space="preserve">TEC-034</t>
  </si>
  <si>
    <t xml:space="preserve">BELCMW-13</t>
  </si>
  <si>
    <t xml:space="preserve">Notificación de invitación y de alta del usuario</t>
  </si>
  <si>
    <t xml:space="preserve">Que el usuario invitado reciba su enlace y, al completar, su aviso de alta.</t>
  </si>
  <si>
    <t xml:space="preserve">Incluye: Correo de invitación y aviso de alta.
No incluye: Notificaciones de transacciones (R2).</t>
  </si>
  <si>
    <t xml:space="preserve">Endpoint: — (interno)
Lee: afiliacion, Contacto_notificacion</t>
  </si>
  <si>
    <t xml:space="preserve">ms-notificaciones</t>
  </si>
  <si>
    <t xml:space="preserve">TEC-015, TEC-032</t>
  </si>
  <si>
    <t xml:space="preserve">Envía el enlace con enrollment_id y token al correo de la invitación. Tras completar, aviso de bienvenida al correo de la relación.</t>
  </si>
  <si>
    <t xml:space="preserve">TEC-035</t>
  </si>
  <si>
    <t xml:space="preserve">BELCMW-14</t>
  </si>
  <si>
    <t xml:space="preserve">Consultar detalle de usuario</t>
  </si>
  <si>
    <t xml:space="preserve">Que el administrador consulte el detalle de un usuario.</t>
  </si>
  <si>
    <t xml:space="preserve">Incluye: Consultar detalle de usuario: endpoint, validaciones y bitácora.
No incluye: La pantalla (TEC-036).</t>
  </si>
  <si>
    <t xml:space="preserve">Endpoint: GET /v1/grupos-economicos/{id}/usuarios/{idUsuario}
Lee: Usuario_grupo_economico, belc_persona_canal, role, perfil, Rol_grupo_producto, Grupo_producto, Contacto_notificacion</t>
  </si>
  <si>
    <t xml:space="preserve">Nombre, rol, perfil, grupos de productos, estado, correo de negocio y fecha de alta. Otro grupo → 403.</t>
  </si>
  <si>
    <t xml:space="preserve">TEC-036</t>
  </si>
  <si>
    <t xml:space="preserve">Pantalla de detalle de usuario</t>
  </si>
  <si>
    <t xml:space="preserve">Que el administrador vea el detalle de un usuario.</t>
  </si>
  <si>
    <t xml:space="preserve">Incluye: Pantalla Web: pantalla de detalle de usuario.
No incluye: App (otro tablero); el servicio (TEC-035).</t>
  </si>
  <si>
    <t xml:space="preserve">Consume: GET /v1/grupos-economicos/{id}/usuarios/{idUsuario} (TEC-035)</t>
  </si>
  <si>
    <t xml:space="preserve">Muestra rol, perfil, grupos de productos, estado, correo de negocio y fecha de alta. Editar e Inactivar visibles solo con permiso. 403/404 → mensaje genérico.</t>
  </si>
  <si>
    <t xml:space="preserve">Puede iniciar con contratos y mocks de TEC-035; la integración espera que estén terminadas.</t>
  </si>
  <si>
    <t xml:space="preserve">TEC-037</t>
  </si>
  <si>
    <t xml:space="preserve">BELCMW-15</t>
  </si>
  <si>
    <t xml:space="preserve">Editar usuario secundario</t>
  </si>
  <si>
    <t xml:space="preserve">Que el administrador cambie el rol, la visualización o el correo de negocio de un usuario.</t>
  </si>
  <si>
    <t xml:space="preserve">Incluye: Editar usuario secundario: endpoint, validaciones y bitácora.
No incluye: La pantalla (TEC-038).</t>
  </si>
  <si>
    <t xml:space="preserve">Endpoint: PUT /v1/grupos-economicos/{id}/usuarios/{idUsuario}
Escribe: Usuario_grupo_economico, Contacto_notificacion
Lee: role
Bitácora: USUARIO_EDITADO</t>
  </si>
  <si>
    <t xml:space="preserve">TEC-004, TEC-016</t>
  </si>
  <si>
    <t xml:space="preserve">Cambiar rol (mismo grupo), tipo de visualización o correo de negocio. Un correo nuevo requiere verificación por OTP. Control de concurrencia con Version (409).</t>
  </si>
  <si>
    <t xml:space="preserve">Puede iniciar con contratos y mocks de TEC-004, TEC-016; la integración espera que estén terminadas.</t>
  </si>
  <si>
    <t xml:space="preserve">TEC-038</t>
  </si>
  <si>
    <t xml:space="preserve">Pantalla de edición de usuario</t>
  </si>
  <si>
    <t xml:space="preserve">Que el administrador edite un usuario desde la Web.</t>
  </si>
  <si>
    <t xml:space="preserve">Incluye: Pantalla Web: pantalla de edición de usuario.
No incluye: App (otro tablero); el servicio (TEC-037).</t>
  </si>
  <si>
    <t xml:space="preserve">Consume: PUT /v1/grupos-economicos/{id}/usuarios/{idUsuario} (TEC-037)</t>
  </si>
  <si>
    <t xml:space="preserve">Muestra el aviso de conflicto si otro administrador lo cambió antes.</t>
  </si>
  <si>
    <t xml:space="preserve">Puede iniciar con contratos y mocks de TEC-037; la integración espera que estén terminadas.</t>
  </si>
  <si>
    <t xml:space="preserve">TEC-039</t>
  </si>
  <si>
    <t xml:space="preserve">BELCMW-16</t>
  </si>
  <si>
    <t xml:space="preserve">Inactivar usuario secundario</t>
  </si>
  <si>
    <t xml:space="preserve">Que el administrador quite el acceso de un usuario a su grupo.</t>
  </si>
  <si>
    <t xml:space="preserve">Incluye: Inactivar usuario secundario: endpoint, validaciones y bitácora.
No incluye: La pantalla (TEC-040).</t>
  </si>
  <si>
    <t xml:space="preserve">Endpoint: PATCH /v1/grupos-economicos/{id}/usuarios/{idUsuario}/estado
Escribe: Usuario_grupo_economico
Lee: Grupo_economico_administrador
Bitácora: USUARIO_INACTIVADO</t>
  </si>
  <si>
    <t xml:space="preserve">No se puede dejar el grupo sin administrador activo. No cambia ForgeRock. Solo datos del grupo económico de la sesión (403 si no). Escribe solo en belc y en auditoria (INSERT). Errores en formato RFC 7807 con correlationId.</t>
  </si>
  <si>
    <t xml:space="preserve">Solo esa relación pasa a INACTIVO; ForgeRock no cambia. No permite dejar el grupo sin administrador activo.</t>
  </si>
  <si>
    <t xml:space="preserve">TEC-040</t>
  </si>
  <si>
    <t xml:space="preserve">Confirmación de inactivación</t>
  </si>
  <si>
    <t xml:space="preserve">Que la inactivación se confirme y explique cuando no es posible.</t>
  </si>
  <si>
    <t xml:space="preserve">Incluye: Pantalla Web: confirmación de inactivación.
No incluye: App (otro tablero); el servicio (TEC-039).</t>
  </si>
  <si>
    <t xml:space="preserve">Consume: PATCH /v1/grupos-economicos/{id}/usuarios/{idUsuario}/estado (TEC-039)</t>
  </si>
  <si>
    <t xml:space="preserve">Pide confirmación. Si es el último administrador activo, muestra el rechazo de la API. Al terminar, el listado muestra el estado nuevo.</t>
  </si>
  <si>
    <t xml:space="preserve">Puede iniciar con contratos y mocks de TEC-039; la integración espera que estén terminadas.</t>
  </si>
  <si>
    <t xml:space="preserve">TEC-104</t>
  </si>
  <si>
    <t xml:space="preserve">BELCMW-46</t>
  </si>
  <si>
    <t xml:space="preserve">BELCMW-43 Acceso y operación de usuarios secundarios</t>
  </si>
  <si>
    <t xml:space="preserve">Afiliación de usuario secundario sin acceso previo</t>
  </si>
  <si>
    <t xml:space="preserve">Que un usuario secundario sin acceso previo se registre y quede vinculado al grupo.</t>
  </si>
  <si>
    <t xml:space="preserve">Incluye: Mismo registro que el administrador, sin alta de administrador.
No incluye: Invitación (TEC-032).</t>
  </si>
  <si>
    <t xml:space="preserve">Endpoint: Reutiliza TEC-020 y TEC-022
Escribe: afiliacion, belc_persona_canal, Usuario_grupo_economico, Contacto_notificacion
Lee: afiliacion
Bitácora: AFILIACION_COMPLETADA</t>
  </si>
  <si>
    <t xml:space="preserve">TEC-020, TEC-022, TEC-023</t>
  </si>
  <si>
    <t xml:space="preserve">Mismo flujo que el administrador (rama 4b), sin crear Grupo_economico_administrador.</t>
  </si>
  <si>
    <t xml:space="preserve">Hereda D1 y D2 de TEC-020</t>
  </si>
  <si>
    <t xml:space="preserve">TEC-100</t>
  </si>
  <si>
    <t xml:space="preserve">BELCMW-44</t>
  </si>
  <si>
    <t xml:space="preserve">Cambio de contexto dentro de la misma sesión</t>
  </si>
  <si>
    <t xml:space="preserve">Que la persona cambie entre PERSONAL y COMERCIAL en la misma sesión.</t>
  </si>
  <si>
    <t xml:space="preserve">Incluye: Cambio PERSONAL/COMERCIAL y recálculo de permisos.
No incluye: Cambio de grupo económico (TEC-102).</t>
  </si>
  <si>
    <t xml:space="preserve">Endpoint: POST /v1/sesion/contexto
Lee: Usuario_grupo_economico
Bitácora: CAMBIO_CONTEXTO</t>
  </si>
  <si>
    <t xml:space="preserve">Sin volver a autenticar. El contexto PERSONAL solo si belp_enabled. Solo datos del grupo económico de la sesión (403 si no). Escribe solo en belc y en auditoria (INSERT). Errores en formato RFC 7807 con correlationId.</t>
  </si>
  <si>
    <t xml:space="preserve">Cambia entre PERSONAL y COMERCIAL sin volver a iniciar sesión. Recalcula permisos.</t>
  </si>
  <si>
    <t xml:space="preserve">D8</t>
  </si>
  <si>
    <t xml:space="preserve">TEC-101</t>
  </si>
  <si>
    <t xml:space="preserve">Selector de contexto</t>
  </si>
  <si>
    <t xml:space="preserve">Que la persona cambie de contexto desde la Web.</t>
  </si>
  <si>
    <t xml:space="preserve">Incluye: Pantalla Web: selector de contexto.
No incluye: App (otro tablero); el servicio (TEC-100).</t>
  </si>
  <si>
    <t xml:space="preserve">Consume: POST /v1/sesion/contexto (TEC-100)</t>
  </si>
  <si>
    <t xml:space="preserve">Muestra el contexto PERSONAL solo si belp_enabled. Al cambiar, recarga menú y permisos sin pedir login.</t>
  </si>
  <si>
    <t xml:space="preserve">TEC-102</t>
  </si>
  <si>
    <t xml:space="preserve">BELCMW-45</t>
  </si>
  <si>
    <t xml:space="preserve">Operar con varios grupos económicos</t>
  </si>
  <si>
    <t xml:space="preserve">Que la persona con varios grupos económicos cambie de grupo en la misma sesión.</t>
  </si>
  <si>
    <t xml:space="preserve">Incluye: Lista de grupos activos y cambio de grupo.
No incluye: Cambio de contexto PERSONAL/COMERCIAL (TEC-100).</t>
  </si>
  <si>
    <t xml:space="preserve">Endpoint: GET y POST /v1/sesion/contexto
Lee: Usuario_grupo_economico, Grupo_economico
Bitácora: CAMBIO_CONTEXTO</t>
  </si>
  <si>
    <t xml:space="preserve">contextosDisponibles lista todos los grupos con relación ACTIVA. Al cambiar de grupo se recalculan rol, permisos y productos sin volver a iniciar sesión.</t>
  </si>
  <si>
    <t xml:space="preserve">TEC-103</t>
  </si>
  <si>
    <t xml:space="preserve">Selector de grupo económico</t>
  </si>
  <si>
    <t xml:space="preserve">Que la persona elija su grupo económico desde la Web.</t>
  </si>
  <si>
    <t xml:space="preserve">Incluye: Pantalla Web: selector de grupo económico.
No incluye: App (otro tablero); el servicio (TEC-102).</t>
  </si>
  <si>
    <t xml:space="preserve">Consume: GET y POST /v1/sesion/contexto (TEC-102)</t>
  </si>
  <si>
    <t xml:space="preserve">Lista todos los grupos con relación activa. Al cambiar de grupo, recarga menú, permisos y productos sin pedir login.</t>
  </si>
  <si>
    <t xml:space="preserve">TEC-105</t>
  </si>
  <si>
    <t xml:space="preserve">BELCMW-47</t>
  </si>
  <si>
    <t xml:space="preserve">Servicio de consolidado de productos con saldo</t>
  </si>
  <si>
    <t xml:space="preserve">Que el usuario vea sus productos con saldo según su rol.</t>
  </si>
  <si>
    <t xml:space="preserve">Incluye: Productos de los grupos del rol con saldo de COBIS.
No incluye: Movimientos y estados de cuenta.</t>
  </si>
  <si>
    <t xml:space="preserve">Endpoint: GET /v1/grupos-economicos/{id}/productos
Lee: Rol_grupo_producto, Grupo_producto, Grupo_producto_detalle, Producto_vinculacion, Empresas_asociadas, Tipo_producto, moneda</t>
  </si>
  <si>
    <t xml:space="preserve">ms-productos · COBIS</t>
  </si>
  <si>
    <t xml:space="preserve">TEC-004, TEC-012</t>
  </si>
  <si>
    <t xml:space="preserve">Los saldos no se guardan en BELC. Solo datos del grupo económico de la sesión (403 si no). Escribe solo en belc y en auditoria (INSERT). Errores en formato RFC 7807 con correlationId.</t>
  </si>
  <si>
    <t xml:space="preserve">Solo productos de los grupos de productos activos del rol, sin repetir. Saldos de COBIS en una sola llamada; no se guardan. COBIS sin respuesta → 504 retryable.</t>
  </si>
  <si>
    <t xml:space="preserve">Puede iniciar con contratos y mocks de TEC-004, TEC-012; la integración espera que estén terminadas.</t>
  </si>
  <si>
    <t xml:space="preserve">TEC-106</t>
  </si>
  <si>
    <t xml:space="preserve">Pantalla del consolidado</t>
  </si>
  <si>
    <t xml:space="preserve">Que el usuario vea el consolidado de productos en la Web.</t>
  </si>
  <si>
    <t xml:space="preserve">Incluye: Vista del consolidado según Mixto o Separado.
No incluye: Detalle de movimientos.</t>
  </si>
  <si>
    <t xml:space="preserve">Consume: GET /v1/grupos-economicos/{id}/productos (TEC-105)</t>
  </si>
  <si>
    <t xml:space="preserve">Agrupación por empresa o mezclada según Mixto o Separado.</t>
  </si>
  <si>
    <t xml:space="preserve">D3</t>
  </si>
  <si>
    <t xml:space="preserve">TEC-107</t>
  </si>
  <si>
    <t xml:space="preserve">BELCMW-48</t>
  </si>
  <si>
    <t xml:space="preserve">Aplicar accesos y productos según el rol en todos los servicios</t>
  </si>
  <si>
    <t xml:space="preserve">Backend + QA</t>
  </si>
  <si>
    <t xml:space="preserve">Domingo Camargo / Kevin Hawkins / Leyda Batista</t>
  </si>
  <si>
    <t xml:space="preserve">Comprobar que todos los servicios aplican el rol: permisos, productos y grupo.</t>
  </si>
  <si>
    <t xml:space="preserve">Incluye: Pruebas automatizadas de permisos, productos y grupo en todos los endpoints.
No incluye: Pruebas funcionales de pantallas.</t>
  </si>
  <si>
    <t xml:space="preserve">Lee: Rol_permiso, Rol_grupo_producto
Bitácora: ACCESO_DENEGADO</t>
  </si>
  <si>
    <t xml:space="preserve">Todos los microservicios</t>
  </si>
  <si>
    <t xml:space="preserve">Pruebas automatizadas: sin permiso → 403; producto fuera de los grupos del rol → 403; recurso de otro grupo → 403; acciones solo las que el rol permite.</t>
  </si>
  <si>
    <t xml:space="preserve">TEC-080</t>
  </si>
  <si>
    <t xml:space="preserve">BELCMW-35, BELCMW-36</t>
  </si>
  <si>
    <t xml:space="preserve">BELCMW-34 Flujos de aprobación</t>
  </si>
  <si>
    <t xml:space="preserve">Listar y buscar flujos de aprobación</t>
  </si>
  <si>
    <t xml:space="preserve">Que el administrador consulte los flujos de aprobación de su grupo.</t>
  </si>
  <si>
    <t xml:space="preserve">Incluye: Listar y buscar flujos de aprobación: endpoint, validaciones y bitácora.
No incluye: La pantalla (TEC-081).</t>
  </si>
  <si>
    <t xml:space="preserve">Endpoint: GET /v1/grupos-economicos/{id}/flujos-aprobacion?texto=
Lee: Flujo_aprobacion, Flujo_aprobacion_regla, Tipo_transaccion, moneda</t>
  </si>
  <si>
    <t xml:space="preserve">ms-autogestion · COBIS</t>
  </si>
  <si>
    <t xml:space="preserve">Paginado, filtro por tipo de transacción y moneda. Otro grupo → 403. Sin llamadas a COBIS.</t>
  </si>
  <si>
    <t xml:space="preserve">D4</t>
  </si>
  <si>
    <t xml:space="preserve">TEC-081</t>
  </si>
  <si>
    <t xml:space="preserve">Pantalla de listado y búsqueda de flujos de aprobación</t>
  </si>
  <si>
    <t xml:space="preserve">Que el administrador vea y busque sus flujos de aprobación.</t>
  </si>
  <si>
    <t xml:space="preserve">Incluye: Pantalla Web: pantalla de listado y búsqueda de flujos de aprobación.
No incluye: App (otro tablero); el servicio (TEC-080).</t>
  </si>
  <si>
    <t xml:space="preserve">Consume: GET /v1/grupos-economicos/{id}/flujos-aprobacion?texto= (TEC-080)</t>
  </si>
  <si>
    <t xml:space="preserve">Lista con tipo de transacción, moneda y rangos. Búsqueda por nombre. Botón Crear solo con permiso.</t>
  </si>
  <si>
    <t xml:space="preserve">TEC-082</t>
  </si>
  <si>
    <t xml:space="preserve">BELCMW-37</t>
  </si>
  <si>
    <t xml:space="preserve">Crear flujo con sus reglas por monto</t>
  </si>
  <si>
    <t xml:space="preserve">Que el administrador defina qué montos requieren aprobación y con qué reglas.</t>
  </si>
  <si>
    <t xml:space="preserve">Incluye: Flujo, reglas por monto y productos asociados.
No incluye: Niveles y aprobadores (TEC-084); ejecución de aprobaciones (R2).</t>
  </si>
  <si>
    <t xml:space="preserve">Endpoint: POST /v1/grupos-economicos/{id}/flujos-aprobacion
Escribe: Flujo_aprobacion, Flujo_aprobacion_regla, Flujo_aprobacion_producto (con id_grupo_economico)
Lee: Tipo_transaccion, moneda, Producto_vinculacion
Bitácora: FLUJO_CREADO</t>
  </si>
  <si>
    <t xml:space="preserve">Monto desde inclusivo, monto hasta exclusivo. Sin solape por tipo de transacción y moneda. Solo datos del grupo económico de la sesión (403 si no). Escribe solo en belc y en auditoria (INSERT). Errores en formato RFC 7807 con correlationId.</t>
  </si>
  <si>
    <t xml:space="preserve">Rangos sin solape por tipo de transacción y moneda; desde inclusivo, hasta exclusivo; validado con SELECT … FOR UPDATE. Productos del mismo grupo.</t>
  </si>
  <si>
    <t xml:space="preserve">TEC-083</t>
  </si>
  <si>
    <t xml:space="preserve">Pantalla de creación de flujo</t>
  </si>
  <si>
    <t xml:space="preserve">Que el administrador cree un flujo desde la Web.</t>
  </si>
  <si>
    <t xml:space="preserve">Incluye: Pantalla Web: pantalla de creación de flujo.
No incluye: App (otro tablero); el servicio (TEC-082).</t>
  </si>
  <si>
    <t xml:space="preserve">Consume: POST /v1/grupos-economicos/{id}/flujos-aprobacion (TEC-082)</t>
  </si>
  <si>
    <t xml:space="preserve">Valida en pantalla que los rangos no se solapen (la API valida igual). Monto desde inclusivo y hasta exclusivo, explicado en la ayuda.</t>
  </si>
  <si>
    <t xml:space="preserve">TEC-084</t>
  </si>
  <si>
    <t xml:space="preserve">BELCMW-38</t>
  </si>
  <si>
    <t xml:space="preserve">Configurar niveles y aprobadores</t>
  </si>
  <si>
    <t xml:space="preserve">Que cada regla tenga niveles ordenados con sus aprobadores.</t>
  </si>
  <si>
    <t xml:space="preserve">Incluye: Niveles, aprobadores y cantidad requerida por nivel.
No incluye: Ejecución de aprobaciones (R2).</t>
  </si>
  <si>
    <t xml:space="preserve">Endpoint: PUT /v1/grupos-economicos/{id}/flujos-aprobacion/{idFlujo}/reglas/{idRegla}/niveles
Escribe: Flujo_aprobacion_nivel, Flujo_aprobacion_aprobador (con id_grupo_economico)
Lee: Usuario_grupo_economico, role, perfil
Bitácora: FLUJO_EDITADO</t>
  </si>
  <si>
    <t xml:space="preserve">Aprobadores del mismo grupo y con perfil APROBADOR. Solo datos del grupo económico de la sesión (403 si no). Escribe solo en belc y en auditoria (INSERT). Errores en formato RFC 7807 con correlationId.</t>
  </si>
  <si>
    <t xml:space="preserve">Orden consecutivo desde 1. Aprobaciones requeridas entre 1 y la cantidad de aprobadores del nivel. Aprobadores del mismo grupo y con perfil APROBADOR. Sube Flujo_aprobacion.Version.</t>
  </si>
  <si>
    <t xml:space="preserve">TEC-085</t>
  </si>
  <si>
    <t xml:space="preserve">Pantalla de niveles y aprobadores</t>
  </si>
  <si>
    <t xml:space="preserve">Que el administrador configure niveles y aprobadores desde la Web.</t>
  </si>
  <si>
    <t xml:space="preserve">Incluye: Pantalla Web: pantalla de niveles y aprobadores.
No incluye: App (otro tablero); el servicio (TEC-084).</t>
  </si>
  <si>
    <t xml:space="preserve">Consume: PUT /v1/grupos-economicos/{id}/flujos-aprobacion/{idFlujo}/reglas/{idRegla}/niveles (TEC-084)</t>
  </si>
  <si>
    <t xml:space="preserve">Niveles en orden; por nivel elige aprobadores (solo perfil APROBADOR) y cuántas aprobaciones requiere, entre 1 y la cantidad de aprobadores. Muestra la etiqueta 1/2, 1/1.</t>
  </si>
  <si>
    <t xml:space="preserve">TEC-086</t>
  </si>
  <si>
    <t xml:space="preserve">BELCMW-40</t>
  </si>
  <si>
    <t xml:space="preserve">Consultar detalle de flujo</t>
  </si>
  <si>
    <t xml:space="preserve">Que el administrador consulte un flujo completo.</t>
  </si>
  <si>
    <t xml:space="preserve">Incluye: Consultar detalle de flujo: endpoint, validaciones y bitácora.
No incluye: La pantalla (TEC-087).</t>
  </si>
  <si>
    <t xml:space="preserve">Endpoint: GET /v1/grupos-economicos/{id}/flujos-aprobacion/{idFlujo}
Lee: Flujo_aprobacion y sus reglas, niveles y aprobadores; belc_persona_canal</t>
  </si>
  <si>
    <t xml:space="preserve">Formato de tu contrato (paso 4).</t>
  </si>
  <si>
    <t xml:space="preserve">TEC-087</t>
  </si>
  <si>
    <t xml:space="preserve">Pantalla de detalle de flujo</t>
  </si>
  <si>
    <t xml:space="preserve">Que el administrador vea el detalle de un flujo.</t>
  </si>
  <si>
    <t xml:space="preserve">Incluye: Pantalla Web: pantalla de detalle de flujo.
No incluye: App (otro tablero); el servicio (TEC-086).</t>
  </si>
  <si>
    <t xml:space="preserve">Consume: GET /v1/grupos-economicos/{id}/flujos-aprobacion/{idFlujo} (TEC-086)</t>
  </si>
  <si>
    <t xml:space="preserve">Muestra reglas, niveles y aprobadores con su nombre. Editar y Eliminar solo con permiso.</t>
  </si>
  <si>
    <t xml:space="preserve">TEC-088</t>
  </si>
  <si>
    <t xml:space="preserve">BELCMW-41</t>
  </si>
  <si>
    <t xml:space="preserve">Editar flujo de aprobación</t>
  </si>
  <si>
    <t xml:space="preserve">Que el administrador cambie un flujo sin pisar cambios de otro administrador.</t>
  </si>
  <si>
    <t xml:space="preserve">Incluye: Editar flujo de aprobación: endpoint, validaciones y bitácora.
No incluye: La pantalla (TEC-089).</t>
  </si>
  <si>
    <t xml:space="preserve">Endpoint: PUT /v1/grupos-economicos/{id}/flujos-aprobacion/{idFlujo}
Escribe: Flujo_aprobacion y sus reglas
Bitácora: FLUJO_EDITADO</t>
  </si>
  <si>
    <t xml:space="preserve">UPDATE con WHERE Version (409). Mismas validaciones de rangos que al crear.</t>
  </si>
  <si>
    <t xml:space="preserve">TEC-089</t>
  </si>
  <si>
    <t xml:space="preserve">Pantalla de edición de flujo</t>
  </si>
  <si>
    <t xml:space="preserve">Que el administrador edite un flujo desde la Web.</t>
  </si>
  <si>
    <t xml:space="preserve">Incluye: Pantalla Web: pantalla de edición de flujo.
No incluye: App (otro tablero); el servicio (TEC-088).</t>
  </si>
  <si>
    <t xml:space="preserve">Consume: PUT /v1/grupos-economicos/{id}/flujos-aprobacion/{idFlujo} (TEC-088)</t>
  </si>
  <si>
    <t xml:space="preserve">Mismas validaciones que crear. Envía Version; 409 → aviso de conflicto y recarga.</t>
  </si>
  <si>
    <t xml:space="preserve">TEC-090</t>
  </si>
  <si>
    <t xml:space="preserve">BELCMW-42</t>
  </si>
  <si>
    <t xml:space="preserve">Eliminar flujo de aprobación</t>
  </si>
  <si>
    <t xml:space="preserve">Que el administrador dé de baja un flujo.</t>
  </si>
  <si>
    <t xml:space="preserve">Incluye: Baja lógica del flujo.
No incluye: Validación de transacciones pendientes hasta el R2.</t>
  </si>
  <si>
    <t xml:space="preserve">Endpoint: DELETE /v1/grupos-economicos/{id}/flujos-aprobacion/{idFlujo}
Escribe: Flujo_aprobacion (Estado = INACTIVO)
Bitácora: FLUJO_ELIMINADO</t>
  </si>
  <si>
    <t xml:space="preserve">Baja lógica. Desde el R2, si hay transacciones pendientes con ese flujo → 409.</t>
  </si>
  <si>
    <t xml:space="preserve">TEC-091</t>
  </si>
  <si>
    <t xml:space="preserve">Confirmación de eliminación de flujo</t>
  </si>
  <si>
    <t xml:space="preserve">Que la baja de un flujo se confirme y explique cuando no es posible.</t>
  </si>
  <si>
    <t xml:space="preserve">Incluye: Pantalla Web: confirmación de eliminación de flujo.
No incluye: App (otro tablero); el servicio (TEC-090).</t>
  </si>
  <si>
    <t xml:space="preserve">Consume: DELETE /v1/grupos-economicos/{id}/flujos-aprobacion/{idFlujo} (TEC-090)</t>
  </si>
  <si>
    <t xml:space="preserve">Pide confirmación. Desde el R2, si hay transacciones pendientes con el flujo (409), lo informa y no elimina.</t>
  </si>
  <si>
    <t xml:space="preserve">Id</t>
  </si>
  <si>
    <t xml:space="preserve">Decisión pendiente</t>
  </si>
  <si>
    <t xml:space="preserve">Quién decide</t>
  </si>
  <si>
    <t xml:space="preserve">Tareas que espera</t>
  </si>
  <si>
    <t xml:space="preserve">¿La relación de la persona es por grupo económico o por empresa? Cambia el comportamiento y la restricción UNIQUE de Usuario_grupo_economico.</t>
  </si>
  <si>
    <t xml:space="preserve">Arquitectura (Ximena Williams) + PO</t>
  </si>
  <si>
    <t xml:space="preserve">TEC-005, TEC-020, TEC-032, TEC-033, TEC-102, TEC-103</t>
  </si>
  <si>
    <t xml:space="preserve">¿Qué llave local usa BELC para la persona y cómo corresponde con ForgeRock? La identidad central ya es ForgeRock (identity_id); solo se decide la llave en las tablas de BELC.</t>
  </si>
  <si>
    <t xml:space="preserve">Arquitectura (Ximena Williams)</t>
  </si>
  <si>
    <t xml:space="preserve">TEC-004, TEC-006, TEC-020</t>
  </si>
  <si>
    <t xml:space="preserve">¿Visualización Mixta o Separada?</t>
  </si>
  <si>
    <t xml:space="preserve">PO</t>
  </si>
  <si>
    <t xml:space="preserve">TEC-005, TEC-106</t>
  </si>
  <si>
    <t xml:space="preserve">¿La épica de flujos de aprobación (BELCMW-34) entra en el Release 1?</t>
  </si>
  <si>
    <t xml:space="preserve">TEC-080 a TEC-091</t>
  </si>
  <si>
    <t xml:space="preserve">¿Qué permite el perfil Ejecutor y quién define los permisos de cada perfil (el banco o el administrador del cliente)?</t>
  </si>
  <si>
    <t xml:space="preserve">TEC-016, TEC-054, TEC-055</t>
  </si>
  <si>
    <t xml:space="preserve">BELCMW-5 'Gestión de token': ¿es el token de la invitación o el soft token del celular?</t>
  </si>
  <si>
    <t xml:space="preserve">PO + Seguridad</t>
  </si>
  <si>
    <t xml:space="preserve">¿BELC puede leer las tablas de empleados mdl02_ de BELP? (HT-01)</t>
  </si>
  <si>
    <t xml:space="preserve">Equipo BELP</t>
  </si>
  <si>
    <t xml:space="preserve">BELCMW-44 'cambio de perfil': ¿cambio de contexto personal/comercial o cambio de perfil del rol?</t>
  </si>
  <si>
    <t xml:space="preserve">TEC-100, TEC-101</t>
  </si>
  <si>
    <t xml:space="preserve">¿Qué servicio del banco envía los correos de negocio?</t>
  </si>
  <si>
    <t xml:space="preserve">Equipo de integración</t>
  </si>
  <si>
    <t xml:space="preserve">TEC-015, TEC-034</t>
  </si>
  <si>
    <t xml:space="preserve">Bitácora: ¿particionar por mes (sin FK a TIPO_EVENTO) o no particionar y archivar por retención?</t>
  </si>
  <si>
    <t xml:space="preserve">Arquitectura (Ximena Williams) + DBA + Seguridad</t>
  </si>
  <si>
    <t xml:space="preserve">TEC-018, ADR-002</t>
  </si>
  <si>
    <t xml:space="preserve">ForgeRock: ¿cómo se acredita la identidad al registrarse, qué MFA aplica en BELC y qué servicio escribe customProfile.belc?</t>
  </si>
  <si>
    <t xml:space="preserve">Arquitectura (Ximena Williams) + Seguridad + Gustavo</t>
  </si>
  <si>
    <t xml:space="preserve">D12</t>
  </si>
  <si>
    <t xml:space="preserve">¿Todo rol necesita al menos un grupo de productos, o los roles solo administrativos pueden no tener?</t>
  </si>
  <si>
    <t xml:space="preserve">TEC-052, TEC-053</t>
  </si>
  <si>
    <t xml:space="preserve">Brecha detectada</t>
  </si>
  <si>
    <t xml:space="preserve">Impacto</t>
  </si>
  <si>
    <t xml:space="preserve">Acción propuesta</t>
  </si>
  <si>
    <t xml:space="preserve">El lado del banco (Servicio de Canales: crear grupo económico, vincular empresas y productos) no tiene historias de la PO.</t>
  </si>
  <si>
    <t xml:space="preserve">Sin esto no hay grupos ni productos que administrar.</t>
  </si>
  <si>
    <t xml:space="preserve">Proponer a la PO una épica para el BackOffice del banco (TEC-007 a TEC-009).</t>
  </si>
  <si>
    <t xml:space="preserve">La descarga de estados de cuenta está en la planificación del R1 pero no en este backlog.</t>
  </si>
  <si>
    <t xml:space="preserve">Entregable del R1 sin historias.</t>
  </si>
  <si>
    <t xml:space="preserve">Confirmar con la PO si sigue en el R1.</t>
  </si>
  <si>
    <t xml:space="preserve">Los journeys de ForgeRock (registro y login) no tienen historias de la PO. Responsable: Gustavo.</t>
  </si>
  <si>
    <t xml:space="preserve">Ninguna persona puede entrar a BELC sin ellos.</t>
  </si>
  <si>
    <t xml:space="preserve">Crear historias para Gustavo (TEC-010) y agregarlo a la alineación de células.</t>
  </si>
  <si>
    <t xml:space="preserve">El tablero es 'Banca en Línea Comercial Web'. El R1 incluye también la App.</t>
  </si>
  <si>
    <t xml:space="preserve">Las pantallas de la App no tienen historias.</t>
  </si>
  <si>
    <t xml:space="preserve">Confirmar si existe un tablero de la App.</t>
  </si>
  <si>
    <t xml:space="preserve">Nadie emite la primera invitación de administrador del grupo.</t>
  </si>
  <si>
    <t xml:space="preserve">El grupo queda creado y nadie puede entrar.</t>
  </si>
  <si>
    <t xml:space="preserve">Agregada como TEC-019 (BackOffice). Pedir a la PO una historia.</t>
  </si>
  <si>
    <t xml:space="preserve">BELCMW-39 no aparece en las capturas del backlog.</t>
  </si>
  <si>
    <t xml:space="preserve">Puede faltar una historia de la épica de flujos.</t>
  </si>
  <si>
    <t xml:space="preserve">Verificar en Jira.</t>
  </si>
  <si>
    <t xml:space="preserve">El perfil Ejecutor (BELCMW-23) no existe en los contratos de UX ni en el catálogo de perfiles.</t>
  </si>
  <si>
    <t xml:space="preserve">Hay que agregarlo y definir qué permite.</t>
  </si>
  <si>
    <t xml:space="preserve">Ver D5.</t>
  </si>
  <si>
    <t xml:space="preserve">Código (TIPO_EVENTO)</t>
  </si>
  <si>
    <t xml:space="preserve">Categoría</t>
  </si>
  <si>
    <t xml:space="preserve">Criticidad</t>
  </si>
  <si>
    <t xml:space="preserve">Visible al cliente</t>
  </si>
  <si>
    <t xml:space="preserve">Estado en el DDL</t>
  </si>
  <si>
    <t xml:space="preserve">LOGIN_EXITOSO</t>
  </si>
  <si>
    <t xml:space="preserve">Inicio de sesión exitoso</t>
  </si>
  <si>
    <t xml:space="preserve">ACCESO</t>
  </si>
  <si>
    <t xml:space="preserve">BAJA</t>
  </si>
  <si>
    <t xml:space="preserve">Sí</t>
  </si>
  <si>
    <t xml:space="preserve">Ya cargado</t>
  </si>
  <si>
    <t xml:space="preserve">LOGOUT</t>
  </si>
  <si>
    <t xml:space="preserve">Cierre de sesión</t>
  </si>
  <si>
    <t xml:space="preserve">CAMBIO_CONTEXTO</t>
  </si>
  <si>
    <t xml:space="preserve">Cambio de contexto o de grupo económico</t>
  </si>
  <si>
    <t xml:space="preserve">ACCESO_DENEGADO</t>
  </si>
  <si>
    <t xml:space="preserve">Operación denegada por falta de permiso</t>
  </si>
  <si>
    <t xml:space="preserve">SEGURIDAD</t>
  </si>
  <si>
    <t xml:space="preserve">ALTA</t>
  </si>
  <si>
    <t xml:space="preserve">No</t>
  </si>
  <si>
    <t xml:space="preserve">GRUPO_ECONOMICO_CREADO</t>
  </si>
  <si>
    <t xml:space="preserve">Grupo económico creado</t>
  </si>
  <si>
    <t xml:space="preserve">BACKOFFICE</t>
  </si>
  <si>
    <t xml:space="preserve">MEDIA</t>
  </si>
  <si>
    <t xml:space="preserve">EMPRESA_VINCULADA</t>
  </si>
  <si>
    <t xml:space="preserve">Empresa vinculada a un grupo económico</t>
  </si>
  <si>
    <t xml:space="preserve">PRODUCTO_VINCULADO</t>
  </si>
  <si>
    <t xml:space="preserve">Producto vinculado a una empresa</t>
  </si>
  <si>
    <t xml:space="preserve">ADMINISTRADOR_INVITADO</t>
  </si>
  <si>
    <t xml:space="preserve">Primer administrador invitado por el banco</t>
  </si>
  <si>
    <t xml:space="preserve">Nuevo</t>
  </si>
  <si>
    <t xml:space="preserve">AFILIACION_COMPLETADA</t>
  </si>
  <si>
    <t xml:space="preserve">Persona vinculada al aceptar la invitación</t>
  </si>
  <si>
    <t xml:space="preserve">AUTOGESTION</t>
  </si>
  <si>
    <t xml:space="preserve">INVITACION_REENVIADA</t>
  </si>
  <si>
    <t xml:space="preserve">Invitación reenviada</t>
  </si>
  <si>
    <t xml:space="preserve">USUARIO_INVITADO</t>
  </si>
  <si>
    <t xml:space="preserve">Usuario secundario invitado</t>
  </si>
  <si>
    <t xml:space="preserve">USUARIO_EDITADO</t>
  </si>
  <si>
    <t xml:space="preserve">Usuario secundario editado</t>
  </si>
  <si>
    <t xml:space="preserve">USUARIO_INACTIVADO</t>
  </si>
  <si>
    <t xml:space="preserve">Usuario secundario inactivado</t>
  </si>
  <si>
    <t xml:space="preserve">ROL_CREADO</t>
  </si>
  <si>
    <t xml:space="preserve">Rol creado</t>
  </si>
  <si>
    <t xml:space="preserve">ROL_EDITADO</t>
  </si>
  <si>
    <t xml:space="preserve">Rol editado</t>
  </si>
  <si>
    <t xml:space="preserve">ROL_ELIMINADO</t>
  </si>
  <si>
    <t xml:space="preserve">Rol eliminado</t>
  </si>
  <si>
    <t xml:space="preserve">GRUPO_PRODUCTOS_CREADO</t>
  </si>
  <si>
    <t xml:space="preserve">Grupo de productos creado</t>
  </si>
  <si>
    <t xml:space="preserve">GRUPO_PRODUCTOS_EDITADO</t>
  </si>
  <si>
    <t xml:space="preserve">Grupo de productos modificado</t>
  </si>
  <si>
    <t xml:space="preserve">GRUPO_PRODUCTOS_ELIMINADO</t>
  </si>
  <si>
    <t xml:space="preserve">Grupo de productos eliminado</t>
  </si>
  <si>
    <t xml:space="preserve">FLUJO_CREADO</t>
  </si>
  <si>
    <t xml:space="preserve">Flujo de aprobación creado</t>
  </si>
  <si>
    <t xml:space="preserve">FLUJO_EDITADO</t>
  </si>
  <si>
    <t xml:space="preserve">Flujo de aprobación editado</t>
  </si>
  <si>
    <t xml:space="preserve">FLUJO_ELIMINADO</t>
  </si>
  <si>
    <t xml:space="preserve">Flujo de aprobación eliminado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</si>
</sst>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6E0B4"/>
        <bgColor rgb="FFD0D7DE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8D7DA"/>
        <bgColor rgb="FFFFF2CC"/>
      </patternFill>
    </fill>
    <fill>
      <patternFill patternType="solid">
        <fgColor rgb="FFDDEB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n">
        <f aca="false">COUNTIFS('Backlog técnico'!$H$2:$H$80,$A5,'Backlog técnico'!$Q$2:$Q$80,B$4)</f>
        <v>0</v>
      </c>
      <c r="C5" s="4" t="n">
        <f aca="false">COUNTIFS('Backlog técnico'!$H$2:$H$80,$A5,'Backlog técnico'!$Q$2:$Q$80,C$4)</f>
        <v>19</v>
      </c>
      <c r="D5" s="4" t="n">
        <f aca="false">COUNTIFS('Backlog técnico'!$H$2:$H$80,$A5,'Backlog técnico'!$Q$2:$Q$80,D$4)</f>
        <v>15</v>
      </c>
      <c r="E5" s="4" t="n">
        <f aca="false">COUNTIFS('Backlog técnico'!$H$2:$H$80,$A5,'Backlog técnico'!$Q$2:$Q$80,E$4)</f>
        <v>0</v>
      </c>
      <c r="F5" s="4" t="n">
        <f aca="false">COUNTIFS('Backlog técnico'!$H$2:$H$80,$A5,'Backlog técnico'!$Q$2:$Q$80,F$4)</f>
        <v>0</v>
      </c>
      <c r="G5" s="4" t="n">
        <f aca="false">COUNTIFS('Backlog técnico'!$H$2:$H$80,$A5,'Backlog técnico'!$Q$2:$Q$80,G$4)</f>
        <v>0</v>
      </c>
      <c r="H5" s="5" t="n">
        <f aca="false">SUM(B5:G5)</f>
        <v>34</v>
      </c>
    </row>
    <row r="6" customFormat="false" ht="15" hidden="false" customHeight="false" outlineLevel="0" collapsed="false">
      <c r="A6" s="4" t="s">
        <v>11</v>
      </c>
      <c r="B6" s="4" t="n">
        <f aca="false">COUNTIFS('Backlog técnico'!$H$2:$H$80,$A6,'Backlog técnico'!$Q$2:$Q$80,B$4)</f>
        <v>0</v>
      </c>
      <c r="C6" s="4" t="n">
        <f aca="false">COUNTIFS('Backlog técnico'!$H$2:$H$80,$A6,'Backlog técnico'!$Q$2:$Q$80,C$4)</f>
        <v>15</v>
      </c>
      <c r="D6" s="4" t="n">
        <f aca="false">COUNTIFS('Backlog técnico'!$H$2:$H$80,$A6,'Backlog técnico'!$Q$2:$Q$80,D$4)</f>
        <v>12</v>
      </c>
      <c r="E6" s="4" t="n">
        <f aca="false">COUNTIFS('Backlog técnico'!$H$2:$H$80,$A6,'Backlog técnico'!$Q$2:$Q$80,E$4)</f>
        <v>0</v>
      </c>
      <c r="F6" s="4" t="n">
        <f aca="false">COUNTIFS('Backlog técnico'!$H$2:$H$80,$A6,'Backlog técnico'!$Q$2:$Q$80,F$4)</f>
        <v>0</v>
      </c>
      <c r="G6" s="4" t="n">
        <f aca="false">COUNTIFS('Backlog técnico'!$H$2:$H$80,$A6,'Backlog técnico'!$Q$2:$Q$80,G$4)</f>
        <v>0</v>
      </c>
      <c r="H6" s="5" t="n">
        <f aca="false">SUM(B6:G6)</f>
        <v>27</v>
      </c>
    </row>
    <row r="7" customFormat="false" ht="15" hidden="false" customHeight="false" outlineLevel="0" collapsed="false">
      <c r="A7" s="4" t="s">
        <v>12</v>
      </c>
      <c r="B7" s="4" t="n">
        <f aca="false">COUNTIFS('Backlog técnico'!$H$2:$H$80,$A7,'Backlog técnico'!$Q$2:$Q$80,B$4)</f>
        <v>0</v>
      </c>
      <c r="C7" s="4" t="n">
        <f aca="false">COUNTIFS('Backlog técnico'!$H$2:$H$80,$A7,'Backlog técnico'!$Q$2:$Q$80,C$4)</f>
        <v>3</v>
      </c>
      <c r="D7" s="4" t="n">
        <f aca="false">COUNTIFS('Backlog técnico'!$H$2:$H$80,$A7,'Backlog técnico'!$Q$2:$Q$80,D$4)</f>
        <v>2</v>
      </c>
      <c r="E7" s="4" t="n">
        <f aca="false">COUNTIFS('Backlog técnico'!$H$2:$H$80,$A7,'Backlog técnico'!$Q$2:$Q$80,E$4)</f>
        <v>0</v>
      </c>
      <c r="F7" s="4" t="n">
        <f aca="false">COUNTIFS('Backlog técnico'!$H$2:$H$80,$A7,'Backlog técnico'!$Q$2:$Q$80,F$4)</f>
        <v>0</v>
      </c>
      <c r="G7" s="4" t="n">
        <f aca="false">COUNTIFS('Backlog técnico'!$H$2:$H$80,$A7,'Backlog técnico'!$Q$2:$Q$80,G$4)</f>
        <v>0</v>
      </c>
      <c r="H7" s="5" t="n">
        <f aca="false">SUM(B7:G7)</f>
        <v>5</v>
      </c>
    </row>
    <row r="8" customFormat="false" ht="15" hidden="false" customHeight="false" outlineLevel="0" collapsed="false">
      <c r="A8" s="4" t="s">
        <v>13</v>
      </c>
      <c r="B8" s="4" t="n">
        <f aca="false">COUNTIFS('Backlog técnico'!$H$2:$H$80,$A8,'Backlog técnico'!$Q$2:$Q$80,B$4)</f>
        <v>2</v>
      </c>
      <c r="C8" s="4" t="n">
        <f aca="false">COUNTIFS('Backlog técnico'!$H$2:$H$80,$A8,'Backlog técnico'!$Q$2:$Q$80,C$4)</f>
        <v>0</v>
      </c>
      <c r="D8" s="4" t="n">
        <f aca="false">COUNTIFS('Backlog técnico'!$H$2:$H$80,$A8,'Backlog técnico'!$Q$2:$Q$80,D$4)</f>
        <v>0</v>
      </c>
      <c r="E8" s="4" t="n">
        <f aca="false">COUNTIFS('Backlog técnico'!$H$2:$H$80,$A8,'Backlog técnico'!$Q$2:$Q$80,E$4)</f>
        <v>0</v>
      </c>
      <c r="F8" s="4" t="n">
        <f aca="false">COUNTIFS('Backlog técnico'!$H$2:$H$80,$A8,'Backlog técnico'!$Q$2:$Q$80,F$4)</f>
        <v>0</v>
      </c>
      <c r="G8" s="4" t="n">
        <f aca="false">COUNTIFS('Backlog técnico'!$H$2:$H$80,$A8,'Backlog técnico'!$Q$2:$Q$80,G$4)</f>
        <v>0</v>
      </c>
      <c r="H8" s="5" t="n">
        <f aca="false">SUM(B8:G8)</f>
        <v>2</v>
      </c>
    </row>
    <row r="9" customFormat="false" ht="15" hidden="false" customHeight="false" outlineLevel="0" collapsed="false">
      <c r="A9" s="4" t="s">
        <v>14</v>
      </c>
      <c r="B9" s="4" t="n">
        <f aca="false">COUNTIFS('Backlog técnico'!$H$2:$H$80,$A9,'Backlog técnico'!$Q$2:$Q$80,B$4)</f>
        <v>0</v>
      </c>
      <c r="C9" s="4" t="n">
        <f aca="false">COUNTIFS('Backlog técnico'!$H$2:$H$80,$A9,'Backlog técnico'!$Q$2:$Q$80,C$4)</f>
        <v>1</v>
      </c>
      <c r="D9" s="4" t="n">
        <f aca="false">COUNTIFS('Backlog técnico'!$H$2:$H$80,$A9,'Backlog técnico'!$Q$2:$Q$80,D$4)</f>
        <v>0</v>
      </c>
      <c r="E9" s="4" t="n">
        <f aca="false">COUNTIFS('Backlog técnico'!$H$2:$H$80,$A9,'Backlog técnico'!$Q$2:$Q$80,E$4)</f>
        <v>0</v>
      </c>
      <c r="F9" s="4" t="n">
        <f aca="false">COUNTIFS('Backlog técnico'!$H$2:$H$80,$A9,'Backlog técnico'!$Q$2:$Q$80,F$4)</f>
        <v>0</v>
      </c>
      <c r="G9" s="4" t="n">
        <f aca="false">COUNTIFS('Backlog técnico'!$H$2:$H$80,$A9,'Backlog técnico'!$Q$2:$Q$80,G$4)</f>
        <v>0</v>
      </c>
      <c r="H9" s="5" t="n">
        <f aca="false">SUM(B9:G9)</f>
        <v>1</v>
      </c>
    </row>
    <row r="10" customFormat="false" ht="15" hidden="false" customHeight="false" outlineLevel="0" collapsed="false">
      <c r="A10" s="4" t="s">
        <v>15</v>
      </c>
      <c r="B10" s="4" t="n">
        <f aca="false">COUNTIFS('Backlog técnico'!$H$2:$H$80,$A10,'Backlog técnico'!$Q$2:$Q$80,B$4)</f>
        <v>1</v>
      </c>
      <c r="C10" s="4" t="n">
        <f aca="false">COUNTIFS('Backlog técnico'!$H$2:$H$80,$A10,'Backlog técnico'!$Q$2:$Q$80,C$4)</f>
        <v>0</v>
      </c>
      <c r="D10" s="4" t="n">
        <f aca="false">COUNTIFS('Backlog técnico'!$H$2:$H$80,$A10,'Backlog técnico'!$Q$2:$Q$80,D$4)</f>
        <v>0</v>
      </c>
      <c r="E10" s="4" t="n">
        <f aca="false">COUNTIFS('Backlog técnico'!$H$2:$H$80,$A10,'Backlog técnico'!$Q$2:$Q$80,E$4)</f>
        <v>0</v>
      </c>
      <c r="F10" s="4" t="n">
        <f aca="false">COUNTIFS('Backlog técnico'!$H$2:$H$80,$A10,'Backlog técnico'!$Q$2:$Q$80,F$4)</f>
        <v>0</v>
      </c>
      <c r="G10" s="4" t="n">
        <f aca="false">COUNTIFS('Backlog técnico'!$H$2:$H$80,$A10,'Backlog técnico'!$Q$2:$Q$80,G$4)</f>
        <v>0</v>
      </c>
      <c r="H10" s="5" t="n">
        <f aca="false">SUM(B10:G10)</f>
        <v>1</v>
      </c>
    </row>
    <row r="11" customFormat="false" ht="15" hidden="false" customHeight="false" outlineLevel="0" collapsed="false">
      <c r="A11" s="4" t="s">
        <v>16</v>
      </c>
      <c r="B11" s="4" t="n">
        <f aca="false">COUNTIFS('Backlog técnico'!$H$2:$H$80,$A11,'Backlog técnico'!$Q$2:$Q$80,B$4)</f>
        <v>1</v>
      </c>
      <c r="C11" s="4" t="n">
        <f aca="false">COUNTIFS('Backlog técnico'!$H$2:$H$80,$A11,'Backlog técnico'!$Q$2:$Q$80,C$4)</f>
        <v>0</v>
      </c>
      <c r="D11" s="4" t="n">
        <f aca="false">COUNTIFS('Backlog técnico'!$H$2:$H$80,$A11,'Backlog técnico'!$Q$2:$Q$80,D$4)</f>
        <v>1</v>
      </c>
      <c r="E11" s="4" t="n">
        <f aca="false">COUNTIFS('Backlog técnico'!$H$2:$H$80,$A11,'Backlog técnico'!$Q$2:$Q$80,E$4)</f>
        <v>0</v>
      </c>
      <c r="F11" s="4" t="n">
        <f aca="false">COUNTIFS('Backlog técnico'!$H$2:$H$80,$A11,'Backlog técnico'!$Q$2:$Q$80,F$4)</f>
        <v>0</v>
      </c>
      <c r="G11" s="4" t="n">
        <f aca="false">COUNTIFS('Backlog técnico'!$H$2:$H$80,$A11,'Backlog técnico'!$Q$2:$Q$80,G$4)</f>
        <v>0</v>
      </c>
      <c r="H11" s="5" t="n">
        <f aca="false">SUM(B11:G11)</f>
        <v>2</v>
      </c>
    </row>
    <row r="12" customFormat="false" ht="15" hidden="false" customHeight="false" outlineLevel="0" collapsed="false">
      <c r="A12" s="4" t="s">
        <v>17</v>
      </c>
      <c r="B12" s="4" t="n">
        <f aca="false">COUNTIFS('Backlog técnico'!$H$2:$H$80,$A12,'Backlog técnico'!$Q$2:$Q$80,B$4)</f>
        <v>0</v>
      </c>
      <c r="C12" s="4" t="n">
        <f aca="false">COUNTIFS('Backlog técnico'!$H$2:$H$80,$A12,'Backlog técnico'!$Q$2:$Q$80,C$4)</f>
        <v>0</v>
      </c>
      <c r="D12" s="4" t="n">
        <f aca="false">COUNTIFS('Backlog técnico'!$H$2:$H$80,$A12,'Backlog técnico'!$Q$2:$Q$80,D$4)</f>
        <v>2</v>
      </c>
      <c r="E12" s="4" t="n">
        <f aca="false">COUNTIFS('Backlog técnico'!$H$2:$H$80,$A12,'Backlog técnico'!$Q$2:$Q$80,E$4)</f>
        <v>0</v>
      </c>
      <c r="F12" s="4" t="n">
        <f aca="false">COUNTIFS('Backlog técnico'!$H$2:$H$80,$A12,'Backlog técnico'!$Q$2:$Q$80,F$4)</f>
        <v>0</v>
      </c>
      <c r="G12" s="4" t="n">
        <f aca="false">COUNTIFS('Backlog técnico'!$H$2:$H$80,$A12,'Backlog técnico'!$Q$2:$Q$80,G$4)</f>
        <v>0</v>
      </c>
      <c r="H12" s="5" t="n">
        <f aca="false">SUM(B12:G12)</f>
        <v>2</v>
      </c>
    </row>
    <row r="13" customFormat="false" ht="15" hidden="false" customHeight="false" outlineLevel="0" collapsed="false">
      <c r="A13" s="4" t="s">
        <v>18</v>
      </c>
      <c r="B13" s="4" t="n">
        <f aca="false">COUNTIFS('Backlog técnico'!$H$2:$H$80,$A13,'Backlog técnico'!$Q$2:$Q$80,B$4)</f>
        <v>0</v>
      </c>
      <c r="C13" s="4" t="n">
        <f aca="false">COUNTIFS('Backlog técnico'!$H$2:$H$80,$A13,'Backlog técnico'!$Q$2:$Q$80,C$4)</f>
        <v>1</v>
      </c>
      <c r="D13" s="4" t="n">
        <f aca="false">COUNTIFS('Backlog técnico'!$H$2:$H$80,$A13,'Backlog técnico'!$Q$2:$Q$80,D$4)</f>
        <v>0</v>
      </c>
      <c r="E13" s="4" t="n">
        <f aca="false">COUNTIFS('Backlog técnico'!$H$2:$H$80,$A13,'Backlog técnico'!$Q$2:$Q$80,E$4)</f>
        <v>0</v>
      </c>
      <c r="F13" s="4" t="n">
        <f aca="false">COUNTIFS('Backlog técnico'!$H$2:$H$80,$A13,'Backlog técnico'!$Q$2:$Q$80,F$4)</f>
        <v>0</v>
      </c>
      <c r="G13" s="4" t="n">
        <f aca="false">COUNTIFS('Backlog técnico'!$H$2:$H$80,$A13,'Backlog técnico'!$Q$2:$Q$80,G$4)</f>
        <v>0</v>
      </c>
      <c r="H13" s="5" t="n">
        <f aca="false">SUM(B13:G13)</f>
        <v>1</v>
      </c>
    </row>
    <row r="14" customFormat="false" ht="15" hidden="false" customHeight="false" outlineLevel="0" collapsed="false">
      <c r="A14" s="4" t="s">
        <v>19</v>
      </c>
      <c r="B14" s="4" t="n">
        <f aca="false">COUNTIFS('Backlog técnico'!$H$2:$H$80,$A14,'Backlog técnico'!$Q$2:$Q$80,B$4)</f>
        <v>0</v>
      </c>
      <c r="C14" s="4" t="n">
        <f aca="false">COUNTIFS('Backlog técnico'!$H$2:$H$80,$A14,'Backlog técnico'!$Q$2:$Q$80,C$4)</f>
        <v>1</v>
      </c>
      <c r="D14" s="4" t="n">
        <f aca="false">COUNTIFS('Backlog técnico'!$H$2:$H$80,$A14,'Backlog técnico'!$Q$2:$Q$80,D$4)</f>
        <v>0</v>
      </c>
      <c r="E14" s="4" t="n">
        <f aca="false">COUNTIFS('Backlog técnico'!$H$2:$H$80,$A14,'Backlog técnico'!$Q$2:$Q$80,E$4)</f>
        <v>0</v>
      </c>
      <c r="F14" s="4" t="n">
        <f aca="false">COUNTIFS('Backlog técnico'!$H$2:$H$80,$A14,'Backlog técnico'!$Q$2:$Q$80,F$4)</f>
        <v>0</v>
      </c>
      <c r="G14" s="4" t="n">
        <f aca="false">COUNTIFS('Backlog técnico'!$H$2:$H$80,$A14,'Backlog técnico'!$Q$2:$Q$80,G$4)</f>
        <v>0</v>
      </c>
      <c r="H14" s="5" t="n">
        <f aca="false">SUM(B14:G14)</f>
        <v>1</v>
      </c>
    </row>
    <row r="15" customFormat="false" ht="15" hidden="false" customHeight="false" outlineLevel="0" collapsed="false">
      <c r="A15" s="4" t="s">
        <v>20</v>
      </c>
      <c r="B15" s="4" t="n">
        <f aca="false">COUNTIFS('Backlog técnico'!$H$2:$H$80,$A15,'Backlog técnico'!$Q$2:$Q$80,B$4)</f>
        <v>0</v>
      </c>
      <c r="C15" s="4" t="n">
        <f aca="false">COUNTIFS('Backlog técnico'!$H$2:$H$80,$A15,'Backlog técnico'!$Q$2:$Q$80,C$4)</f>
        <v>1</v>
      </c>
      <c r="D15" s="4" t="n">
        <f aca="false">COUNTIFS('Backlog técnico'!$H$2:$H$80,$A15,'Backlog técnico'!$Q$2:$Q$80,D$4)</f>
        <v>0</v>
      </c>
      <c r="E15" s="4" t="n">
        <f aca="false">COUNTIFS('Backlog técnico'!$H$2:$H$80,$A15,'Backlog técnico'!$Q$2:$Q$80,E$4)</f>
        <v>0</v>
      </c>
      <c r="F15" s="4" t="n">
        <f aca="false">COUNTIFS('Backlog técnico'!$H$2:$H$80,$A15,'Backlog técnico'!$Q$2:$Q$80,F$4)</f>
        <v>1</v>
      </c>
      <c r="G15" s="4" t="n">
        <f aca="false">COUNTIFS('Backlog técnico'!$H$2:$H$80,$A15,'Backlog técnico'!$Q$2:$Q$80,G$4)</f>
        <v>0</v>
      </c>
      <c r="H15" s="5" t="n">
        <f aca="false">SUM(B15:G15)</f>
        <v>2</v>
      </c>
    </row>
    <row r="16" customFormat="false" ht="15" hidden="false" customHeight="false" outlineLevel="0" collapsed="false">
      <c r="A16" s="4" t="s">
        <v>21</v>
      </c>
      <c r="B16" s="4" t="n">
        <f aca="false">COUNTIFS('Backlog técnico'!$H$2:$H$80,$A16,'Backlog técnico'!$Q$2:$Q$80,B$4)</f>
        <v>0</v>
      </c>
      <c r="C16" s="4" t="n">
        <f aca="false">COUNTIFS('Backlog técnico'!$H$2:$H$80,$A16,'Backlog técnico'!$Q$2:$Q$80,C$4)</f>
        <v>0</v>
      </c>
      <c r="D16" s="4" t="n">
        <f aca="false">COUNTIFS('Backlog técnico'!$H$2:$H$80,$A16,'Backlog técnico'!$Q$2:$Q$80,D$4)</f>
        <v>1</v>
      </c>
      <c r="E16" s="4" t="n">
        <f aca="false">COUNTIFS('Backlog técnico'!$H$2:$H$80,$A16,'Backlog técnico'!$Q$2:$Q$80,E$4)</f>
        <v>0</v>
      </c>
      <c r="F16" s="4" t="n">
        <f aca="false">COUNTIFS('Backlog técnico'!$H$2:$H$80,$A16,'Backlog técnico'!$Q$2:$Q$80,F$4)</f>
        <v>0</v>
      </c>
      <c r="G16" s="4" t="n">
        <f aca="false">COUNTIFS('Backlog técnico'!$H$2:$H$80,$A16,'Backlog técnico'!$Q$2:$Q$80,G$4)</f>
        <v>0</v>
      </c>
      <c r="H16" s="5" t="n">
        <f aca="false">SUM(B16:G16)</f>
        <v>1</v>
      </c>
    </row>
    <row r="17" customFormat="false" ht="15" hidden="false" customHeight="false" outlineLevel="0" collapsed="false">
      <c r="A17" s="6" t="s">
        <v>9</v>
      </c>
      <c r="B17" s="5" t="n">
        <f aca="false">SUM(B5:B16)</f>
        <v>4</v>
      </c>
      <c r="C17" s="5" t="n">
        <f aca="false">SUM(C5:C16)</f>
        <v>41</v>
      </c>
      <c r="D17" s="5" t="n">
        <f aca="false">SUM(D5:D16)</f>
        <v>33</v>
      </c>
      <c r="E17" s="5" t="n">
        <f aca="false">SUM(E5:E16)</f>
        <v>0</v>
      </c>
      <c r="F17" s="5" t="n">
        <f aca="false">SUM(F5:F16)</f>
        <v>1</v>
      </c>
      <c r="G17" s="5" t="n">
        <f aca="false">SUM(G5:G16)</f>
        <v>0</v>
      </c>
      <c r="H17" s="5" t="n">
        <f aca="false">SUM(H5:H16)</f>
        <v>79</v>
      </c>
    </row>
    <row r="18" customFormat="false" ht="15" hidden="false" customHeight="false" outlineLevel="0" collapsed="false">
      <c r="A18" s="2" t="s">
        <v>22</v>
      </c>
      <c r="H18" s="2" t="n">
        <f aca="false">COUNTA('Backlog técnico'!$A$2:$A$80)</f>
        <v>79</v>
      </c>
    </row>
    <row r="20" customFormat="false" ht="15" hidden="false" customHeight="false" outlineLevel="0" collapsed="false">
      <c r="A20" s="6" t="s">
        <v>23</v>
      </c>
    </row>
    <row r="21" customFormat="false" ht="15" hidden="false" customHeight="false" outlineLevel="0" collapsed="false">
      <c r="A21" s="7" t="s">
        <v>3</v>
      </c>
      <c r="B21" s="8" t="s">
        <v>24</v>
      </c>
    </row>
    <row r="22" customFormat="false" ht="15" hidden="false" customHeight="false" outlineLevel="0" collapsed="false">
      <c r="A22" s="9" t="s">
        <v>4</v>
      </c>
      <c r="B22" s="8" t="s">
        <v>25</v>
      </c>
    </row>
    <row r="23" customFormat="false" ht="15" hidden="false" customHeight="false" outlineLevel="0" collapsed="false">
      <c r="A23" s="10" t="s">
        <v>5</v>
      </c>
      <c r="B23" s="8" t="s">
        <v>26</v>
      </c>
    </row>
    <row r="24" customFormat="false" ht="15" hidden="false" customHeight="false" outlineLevel="0" collapsed="false">
      <c r="A24" s="11" t="s">
        <v>6</v>
      </c>
      <c r="B24" s="8" t="s">
        <v>27</v>
      </c>
    </row>
    <row r="25" customFormat="false" ht="15" hidden="false" customHeight="false" outlineLevel="0" collapsed="false">
      <c r="A25" s="12" t="s">
        <v>7</v>
      </c>
      <c r="B25" s="8" t="s">
        <v>7</v>
      </c>
    </row>
    <row r="26" customFormat="false" ht="15" hidden="false" customHeight="false" outlineLevel="0" collapsed="false">
      <c r="A26" s="13" t="s">
        <v>28</v>
      </c>
    </row>
    <row r="27" customFormat="false" ht="15" hidden="false" customHeight="false" outlineLevel="0" collapsed="false">
      <c r="A27" s="3" t="s">
        <v>29</v>
      </c>
      <c r="B27" s="3" t="s">
        <v>30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</row>
    <row r="28" customFormat="false" ht="15" hidden="false" customHeight="false" outlineLevel="0" collapsed="false">
      <c r="A28" s="4" t="s">
        <v>31</v>
      </c>
      <c r="B28" s="4" t="s">
        <v>32</v>
      </c>
      <c r="C28" s="4" t="n">
        <f aca="false">COUNTIFS('Backlog técnico'!$I$2:$I$80,"*"&amp;$A28&amp;"*",'Backlog técnico'!$Q$2:$Q$80,C$27)</f>
        <v>0</v>
      </c>
      <c r="D28" s="4" t="n">
        <f aca="false">COUNTIFS('Backlog técnico'!$I$2:$I$80,"*"&amp;$A28&amp;"*",'Backlog técnico'!$Q$2:$Q$80,D$27)</f>
        <v>2</v>
      </c>
      <c r="E28" s="4" t="n">
        <f aca="false">COUNTIFS('Backlog técnico'!$I$2:$I$80,"*"&amp;$A28&amp;"*",'Backlog técnico'!$Q$2:$Q$80,E$27)</f>
        <v>3</v>
      </c>
      <c r="F28" s="4" t="n">
        <f aca="false">COUNTIFS('Backlog técnico'!$I$2:$I$80,"*"&amp;$A28&amp;"*",'Backlog técnico'!$Q$2:$Q$80,F$27)</f>
        <v>0</v>
      </c>
      <c r="G28" s="4" t="n">
        <f aca="false">COUNTIFS('Backlog técnico'!$I$2:$I$80,"*"&amp;$A28&amp;"*",'Backlog técnico'!$Q$2:$Q$80,G$27)</f>
        <v>0</v>
      </c>
      <c r="H28" s="4" t="n">
        <f aca="false">COUNTIFS('Backlog técnico'!$I$2:$I$80,"*"&amp;$A28&amp;"*",'Backlog técnico'!$Q$2:$Q$80,H$27)</f>
        <v>0</v>
      </c>
      <c r="I28" s="5" t="n">
        <f aca="false">SUM(C28:H28)</f>
        <v>5</v>
      </c>
    </row>
    <row r="29" customFormat="false" ht="15" hidden="false" customHeight="false" outlineLevel="0" collapsed="false">
      <c r="A29" s="4" t="s">
        <v>33</v>
      </c>
      <c r="B29" s="4" t="s">
        <v>34</v>
      </c>
      <c r="C29" s="4" t="n">
        <f aca="false">COUNTIFS('Backlog técnico'!$I$2:$I$80,"*"&amp;$A29&amp;"*",'Backlog técnico'!$Q$2:$Q$80,C$27)</f>
        <v>0</v>
      </c>
      <c r="D29" s="4" t="n">
        <f aca="false">COUNTIFS('Backlog técnico'!$I$2:$I$80,"*"&amp;$A29&amp;"*",'Backlog técnico'!$Q$2:$Q$80,D$27)</f>
        <v>6</v>
      </c>
      <c r="E29" s="4" t="n">
        <f aca="false">COUNTIFS('Backlog técnico'!$I$2:$I$80,"*"&amp;$A29&amp;"*",'Backlog técnico'!$Q$2:$Q$80,E$27)</f>
        <v>1</v>
      </c>
      <c r="F29" s="4" t="n">
        <f aca="false">COUNTIFS('Backlog técnico'!$I$2:$I$80,"*"&amp;$A29&amp;"*",'Backlog técnico'!$Q$2:$Q$80,F$27)</f>
        <v>0</v>
      </c>
      <c r="G29" s="4" t="n">
        <f aca="false">COUNTIFS('Backlog técnico'!$I$2:$I$80,"*"&amp;$A29&amp;"*",'Backlog técnico'!$Q$2:$Q$80,G$27)</f>
        <v>0</v>
      </c>
      <c r="H29" s="4" t="n">
        <f aca="false">COUNTIFS('Backlog técnico'!$I$2:$I$80,"*"&amp;$A29&amp;"*",'Backlog técnico'!$Q$2:$Q$80,H$27)</f>
        <v>0</v>
      </c>
      <c r="I29" s="5" t="n">
        <f aca="false">SUM(C29:H29)</f>
        <v>7</v>
      </c>
    </row>
    <row r="30" customFormat="false" ht="15" hidden="false" customHeight="false" outlineLevel="0" collapsed="false">
      <c r="A30" s="4" t="s">
        <v>35</v>
      </c>
      <c r="B30" s="4" t="s">
        <v>34</v>
      </c>
      <c r="C30" s="4" t="n">
        <f aca="false">COUNTIFS('Backlog técnico'!$I$2:$I$80,"*"&amp;$A30&amp;"*",'Backlog técnico'!$Q$2:$Q$80,C$27)</f>
        <v>0</v>
      </c>
      <c r="D30" s="4" t="n">
        <f aca="false">COUNTIFS('Backlog técnico'!$I$2:$I$80,"*"&amp;$A30&amp;"*",'Backlog técnico'!$Q$2:$Q$80,D$27)</f>
        <v>6</v>
      </c>
      <c r="E30" s="4" t="n">
        <f aca="false">COUNTIFS('Backlog técnico'!$I$2:$I$80,"*"&amp;$A30&amp;"*",'Backlog técnico'!$Q$2:$Q$80,E$27)</f>
        <v>1</v>
      </c>
      <c r="F30" s="4" t="n">
        <f aca="false">COUNTIFS('Backlog técnico'!$I$2:$I$80,"*"&amp;$A30&amp;"*",'Backlog técnico'!$Q$2:$Q$80,F$27)</f>
        <v>0</v>
      </c>
      <c r="G30" s="4" t="n">
        <f aca="false">COUNTIFS('Backlog técnico'!$I$2:$I$80,"*"&amp;$A30&amp;"*",'Backlog técnico'!$Q$2:$Q$80,G$27)</f>
        <v>0</v>
      </c>
      <c r="H30" s="4" t="n">
        <f aca="false">COUNTIFS('Backlog técnico'!$I$2:$I$80,"*"&amp;$A30&amp;"*",'Backlog técnico'!$Q$2:$Q$80,H$27)</f>
        <v>0</v>
      </c>
      <c r="I30" s="5" t="n">
        <f aca="false">SUM(C30:H30)</f>
        <v>7</v>
      </c>
    </row>
    <row r="31" customFormat="false" ht="15" hidden="false" customHeight="false" outlineLevel="0" collapsed="false">
      <c r="A31" s="4" t="s">
        <v>36</v>
      </c>
      <c r="B31" s="4" t="s">
        <v>34</v>
      </c>
      <c r="C31" s="4" t="n">
        <f aca="false">COUNTIFS('Backlog técnico'!$I$2:$I$80,"*"&amp;$A31&amp;"*",'Backlog técnico'!$Q$2:$Q$80,C$27)</f>
        <v>0</v>
      </c>
      <c r="D31" s="4" t="n">
        <f aca="false">COUNTIFS('Backlog técnico'!$I$2:$I$80,"*"&amp;$A31&amp;"*",'Backlog técnico'!$Q$2:$Q$80,D$27)</f>
        <v>1</v>
      </c>
      <c r="E31" s="4" t="n">
        <f aca="false">COUNTIFS('Backlog técnico'!$I$2:$I$80,"*"&amp;$A31&amp;"*",'Backlog técnico'!$Q$2:$Q$80,E$27)</f>
        <v>10</v>
      </c>
      <c r="F31" s="4" t="n">
        <f aca="false">COUNTIFS('Backlog técnico'!$I$2:$I$80,"*"&amp;$A31&amp;"*",'Backlog técnico'!$Q$2:$Q$80,F$27)</f>
        <v>0</v>
      </c>
      <c r="G31" s="4" t="n">
        <f aca="false">COUNTIFS('Backlog técnico'!$I$2:$I$80,"*"&amp;$A31&amp;"*",'Backlog técnico'!$Q$2:$Q$80,G$27)</f>
        <v>0</v>
      </c>
      <c r="H31" s="4" t="n">
        <f aca="false">COUNTIFS('Backlog técnico'!$I$2:$I$80,"*"&amp;$A31&amp;"*",'Backlog técnico'!$Q$2:$Q$80,H$27)</f>
        <v>0</v>
      </c>
      <c r="I31" s="5" t="n">
        <f aca="false">SUM(C31:H31)</f>
        <v>11</v>
      </c>
    </row>
    <row r="32" customFormat="false" ht="15" hidden="false" customHeight="false" outlineLevel="0" collapsed="false">
      <c r="A32" s="4" t="s">
        <v>37</v>
      </c>
      <c r="B32" s="4" t="s">
        <v>34</v>
      </c>
      <c r="C32" s="4" t="n">
        <f aca="false">COUNTIFS('Backlog técnico'!$I$2:$I$80,"*"&amp;$A32&amp;"*",'Backlog técnico'!$Q$2:$Q$80,C$27)</f>
        <v>0</v>
      </c>
      <c r="D32" s="4" t="n">
        <f aca="false">COUNTIFS('Backlog técnico'!$I$2:$I$80,"*"&amp;$A32&amp;"*",'Backlog técnico'!$Q$2:$Q$80,D$27)</f>
        <v>5</v>
      </c>
      <c r="E32" s="4" t="n">
        <f aca="false">COUNTIFS('Backlog técnico'!$I$2:$I$80,"*"&amp;$A32&amp;"*",'Backlog técnico'!$Q$2:$Q$80,E$27)</f>
        <v>2</v>
      </c>
      <c r="F32" s="4" t="n">
        <f aca="false">COUNTIFS('Backlog técnico'!$I$2:$I$80,"*"&amp;$A32&amp;"*",'Backlog técnico'!$Q$2:$Q$80,F$27)</f>
        <v>0</v>
      </c>
      <c r="G32" s="4" t="n">
        <f aca="false">COUNTIFS('Backlog técnico'!$I$2:$I$80,"*"&amp;$A32&amp;"*",'Backlog técnico'!$Q$2:$Q$80,G$27)</f>
        <v>0</v>
      </c>
      <c r="H32" s="4" t="n">
        <f aca="false">COUNTIFS('Backlog técnico'!$I$2:$I$80,"*"&amp;$A32&amp;"*",'Backlog técnico'!$Q$2:$Q$80,H$27)</f>
        <v>0</v>
      </c>
      <c r="I32" s="5" t="n">
        <f aca="false">SUM(C32:H32)</f>
        <v>7</v>
      </c>
    </row>
    <row r="33" customFormat="false" ht="15" hidden="false" customHeight="false" outlineLevel="0" collapsed="false">
      <c r="A33" s="4" t="s">
        <v>38</v>
      </c>
      <c r="B33" s="4" t="s">
        <v>39</v>
      </c>
      <c r="C33" s="4" t="n">
        <f aca="false">COUNTIFS('Backlog técnico'!$I$2:$I$80,"*"&amp;$A33&amp;"*",'Backlog técnico'!$Q$2:$Q$80,C$27)</f>
        <v>0</v>
      </c>
      <c r="D33" s="4" t="n">
        <f aca="false">COUNTIFS('Backlog técnico'!$I$2:$I$80,"*"&amp;$A33&amp;"*",'Backlog técnico'!$Q$2:$Q$80,D$27)</f>
        <v>0</v>
      </c>
      <c r="E33" s="4" t="n">
        <f aca="false">COUNTIFS('Backlog técnico'!$I$2:$I$80,"*"&amp;$A33&amp;"*",'Backlog técnico'!$Q$2:$Q$80,E$27)</f>
        <v>4</v>
      </c>
      <c r="F33" s="4" t="n">
        <f aca="false">COUNTIFS('Backlog técnico'!$I$2:$I$80,"*"&amp;$A33&amp;"*",'Backlog técnico'!$Q$2:$Q$80,F$27)</f>
        <v>0</v>
      </c>
      <c r="G33" s="4" t="n">
        <f aca="false">COUNTIFS('Backlog técnico'!$I$2:$I$80,"*"&amp;$A33&amp;"*",'Backlog técnico'!$Q$2:$Q$80,G$27)</f>
        <v>0</v>
      </c>
      <c r="H33" s="4" t="n">
        <f aca="false">COUNTIFS('Backlog técnico'!$I$2:$I$80,"*"&amp;$A33&amp;"*",'Backlog técnico'!$Q$2:$Q$80,H$27)</f>
        <v>0</v>
      </c>
      <c r="I33" s="5" t="n">
        <f aca="false">SUM(C33:H33)</f>
        <v>4</v>
      </c>
    </row>
    <row r="34" customFormat="false" ht="15" hidden="false" customHeight="false" outlineLevel="0" collapsed="false">
      <c r="A34" s="4" t="s">
        <v>40</v>
      </c>
      <c r="B34" s="4" t="s">
        <v>41</v>
      </c>
      <c r="C34" s="4" t="n">
        <f aca="false">COUNTIFS('Backlog técnico'!$I$2:$I$80,"*"&amp;$A34&amp;"*",'Backlog técnico'!$Q$2:$Q$80,C$27)</f>
        <v>0</v>
      </c>
      <c r="D34" s="4" t="n">
        <f aca="false">COUNTIFS('Backlog técnico'!$I$2:$I$80,"*"&amp;$A34&amp;"*",'Backlog técnico'!$Q$2:$Q$80,D$27)</f>
        <v>7</v>
      </c>
      <c r="E34" s="4" t="n">
        <f aca="false">COUNTIFS('Backlog técnico'!$I$2:$I$80,"*"&amp;$A34&amp;"*",'Backlog técnico'!$Q$2:$Q$80,E$27)</f>
        <v>0</v>
      </c>
      <c r="F34" s="4" t="n">
        <f aca="false">COUNTIFS('Backlog técnico'!$I$2:$I$80,"*"&amp;$A34&amp;"*",'Backlog técnico'!$Q$2:$Q$80,F$27)</f>
        <v>0</v>
      </c>
      <c r="G34" s="4" t="n">
        <f aca="false">COUNTIFS('Backlog técnico'!$I$2:$I$80,"*"&amp;$A34&amp;"*",'Backlog técnico'!$Q$2:$Q$80,G$27)</f>
        <v>0</v>
      </c>
      <c r="H34" s="4" t="n">
        <f aca="false">COUNTIFS('Backlog técnico'!$I$2:$I$80,"*"&amp;$A34&amp;"*",'Backlog técnico'!$Q$2:$Q$80,H$27)</f>
        <v>0</v>
      </c>
      <c r="I34" s="5" t="n">
        <f aca="false">SUM(C34:H34)</f>
        <v>7</v>
      </c>
    </row>
    <row r="35" customFormat="false" ht="15" hidden="false" customHeight="false" outlineLevel="0" collapsed="false">
      <c r="A35" s="4" t="s">
        <v>42</v>
      </c>
      <c r="B35" s="4" t="s">
        <v>43</v>
      </c>
      <c r="C35" s="4" t="n">
        <f aca="false">COUNTIFS('Backlog técnico'!$I$2:$I$80,"*"&amp;$A35&amp;"*",'Backlog técnico'!$Q$2:$Q$80,C$27)</f>
        <v>0</v>
      </c>
      <c r="D35" s="4" t="n">
        <f aca="false">COUNTIFS('Backlog técnico'!$I$2:$I$80,"*"&amp;$A35&amp;"*",'Backlog técnico'!$Q$2:$Q$80,D$27)</f>
        <v>4</v>
      </c>
      <c r="E35" s="4" t="n">
        <f aca="false">COUNTIFS('Backlog técnico'!$I$2:$I$80,"*"&amp;$A35&amp;"*",'Backlog técnico'!$Q$2:$Q$80,E$27)</f>
        <v>4</v>
      </c>
      <c r="F35" s="4" t="n">
        <f aca="false">COUNTIFS('Backlog técnico'!$I$2:$I$80,"*"&amp;$A35&amp;"*",'Backlog técnico'!$Q$2:$Q$80,F$27)</f>
        <v>0</v>
      </c>
      <c r="G35" s="4" t="n">
        <f aca="false">COUNTIFS('Backlog técnico'!$I$2:$I$80,"*"&amp;$A35&amp;"*",'Backlog técnico'!$Q$2:$Q$80,G$27)</f>
        <v>0</v>
      </c>
      <c r="H35" s="4" t="n">
        <f aca="false">COUNTIFS('Backlog técnico'!$I$2:$I$80,"*"&amp;$A35&amp;"*",'Backlog técnico'!$Q$2:$Q$80,H$27)</f>
        <v>0</v>
      </c>
      <c r="I35" s="5" t="n">
        <f aca="false">SUM(C35:H35)</f>
        <v>8</v>
      </c>
    </row>
    <row r="36" customFormat="false" ht="15" hidden="false" customHeight="false" outlineLevel="0" collapsed="false">
      <c r="A36" s="4" t="s">
        <v>44</v>
      </c>
      <c r="B36" s="4" t="s">
        <v>43</v>
      </c>
      <c r="C36" s="4" t="n">
        <f aca="false">COUNTIFS('Backlog técnico'!$I$2:$I$80,"*"&amp;$A36&amp;"*",'Backlog técnico'!$Q$2:$Q$80,C$27)</f>
        <v>0</v>
      </c>
      <c r="D36" s="4" t="n">
        <f aca="false">COUNTIFS('Backlog técnico'!$I$2:$I$80,"*"&amp;$A36&amp;"*",'Backlog técnico'!$Q$2:$Q$80,D$27)</f>
        <v>5</v>
      </c>
      <c r="E36" s="4" t="n">
        <f aca="false">COUNTIFS('Backlog técnico'!$I$2:$I$80,"*"&amp;$A36&amp;"*",'Backlog técnico'!$Q$2:$Q$80,E$27)</f>
        <v>4</v>
      </c>
      <c r="F36" s="4" t="n">
        <f aca="false">COUNTIFS('Backlog técnico'!$I$2:$I$80,"*"&amp;$A36&amp;"*",'Backlog técnico'!$Q$2:$Q$80,F$27)</f>
        <v>0</v>
      </c>
      <c r="G36" s="4" t="n">
        <f aca="false">COUNTIFS('Backlog técnico'!$I$2:$I$80,"*"&amp;$A36&amp;"*",'Backlog técnico'!$Q$2:$Q$80,G$27)</f>
        <v>0</v>
      </c>
      <c r="H36" s="4" t="n">
        <f aca="false">COUNTIFS('Backlog técnico'!$I$2:$I$80,"*"&amp;$A36&amp;"*",'Backlog técnico'!$Q$2:$Q$80,H$27)</f>
        <v>0</v>
      </c>
      <c r="I36" s="5" t="n">
        <f aca="false">SUM(C36:H36)</f>
        <v>9</v>
      </c>
    </row>
    <row r="37" customFormat="false" ht="15" hidden="false" customHeight="false" outlineLevel="0" collapsed="false">
      <c r="A37" s="4" t="s">
        <v>45</v>
      </c>
      <c r="B37" s="4" t="s">
        <v>46</v>
      </c>
      <c r="C37" s="4" t="n">
        <f aca="false">COUNTIFS('Backlog técnico'!$I$2:$I$80,"*"&amp;$A37&amp;"*",'Backlog técnico'!$Q$2:$Q$80,C$27)</f>
        <v>0</v>
      </c>
      <c r="D37" s="4" t="n">
        <f aca="false">COUNTIFS('Backlog técnico'!$I$2:$I$80,"*"&amp;$A37&amp;"*",'Backlog técnico'!$Q$2:$Q$80,D$27)</f>
        <v>1</v>
      </c>
      <c r="E37" s="4" t="n">
        <f aca="false">COUNTIFS('Backlog técnico'!$I$2:$I$80,"*"&amp;$A37&amp;"*",'Backlog técnico'!$Q$2:$Q$80,E$27)</f>
        <v>0</v>
      </c>
      <c r="F37" s="4" t="n">
        <f aca="false">COUNTIFS('Backlog técnico'!$I$2:$I$80,"*"&amp;$A37&amp;"*",'Backlog técnico'!$Q$2:$Q$80,F$27)</f>
        <v>0</v>
      </c>
      <c r="G37" s="4" t="n">
        <f aca="false">COUNTIFS('Backlog técnico'!$I$2:$I$80,"*"&amp;$A37&amp;"*",'Backlog técnico'!$Q$2:$Q$80,G$27)</f>
        <v>0</v>
      </c>
      <c r="H37" s="4" t="n">
        <f aca="false">COUNTIFS('Backlog técnico'!$I$2:$I$80,"*"&amp;$A37&amp;"*",'Backlog técnico'!$Q$2:$Q$80,H$27)</f>
        <v>0</v>
      </c>
      <c r="I37" s="5" t="n">
        <f aca="false">SUM(C37:H37)</f>
        <v>1</v>
      </c>
    </row>
    <row r="38" customFormat="false" ht="15" hidden="false" customHeight="false" outlineLevel="0" collapsed="false">
      <c r="A38" s="4" t="s">
        <v>47</v>
      </c>
      <c r="B38" s="4" t="s">
        <v>48</v>
      </c>
      <c r="C38" s="4" t="n">
        <f aca="false">COUNTIFS('Backlog técnico'!$I$2:$I$80,"*"&amp;$A38&amp;"*",'Backlog técnico'!$Q$2:$Q$80,C$27)</f>
        <v>0</v>
      </c>
      <c r="D38" s="4" t="n">
        <f aca="false">COUNTIFS('Backlog técnico'!$I$2:$I$80,"*"&amp;$A38&amp;"*",'Backlog técnico'!$Q$2:$Q$80,D$27)</f>
        <v>1</v>
      </c>
      <c r="E38" s="4" t="n">
        <f aca="false">COUNTIFS('Backlog técnico'!$I$2:$I$80,"*"&amp;$A38&amp;"*",'Backlog técnico'!$Q$2:$Q$80,E$27)</f>
        <v>0</v>
      </c>
      <c r="F38" s="4" t="n">
        <f aca="false">COUNTIFS('Backlog técnico'!$I$2:$I$80,"*"&amp;$A38&amp;"*",'Backlog técnico'!$Q$2:$Q$80,F$27)</f>
        <v>0</v>
      </c>
      <c r="G38" s="4" t="n">
        <f aca="false">COUNTIFS('Backlog técnico'!$I$2:$I$80,"*"&amp;$A38&amp;"*",'Backlog técnico'!$Q$2:$Q$80,G$27)</f>
        <v>0</v>
      </c>
      <c r="H38" s="4" t="n">
        <f aca="false">COUNTIFS('Backlog técnico'!$I$2:$I$80,"*"&amp;$A38&amp;"*",'Backlog técnico'!$Q$2:$Q$80,H$27)</f>
        <v>0</v>
      </c>
      <c r="I38" s="5" t="n">
        <f aca="false">SUM(C38:H38)</f>
        <v>1</v>
      </c>
    </row>
    <row r="39" customFormat="false" ht="15" hidden="false" customHeight="false" outlineLevel="0" collapsed="false">
      <c r="A39" s="4" t="s">
        <v>49</v>
      </c>
      <c r="B39" s="4" t="s">
        <v>50</v>
      </c>
      <c r="C39" s="4" t="n">
        <f aca="false">COUNTIFS('Backlog técnico'!$I$2:$I$80,"*"&amp;$A39&amp;"*",'Backlog técnico'!$Q$2:$Q$80,C$27)</f>
        <v>0</v>
      </c>
      <c r="D39" s="4" t="n">
        <f aca="false">COUNTIFS('Backlog técnico'!$I$2:$I$80,"*"&amp;$A39&amp;"*",'Backlog técnico'!$Q$2:$Q$80,D$27)</f>
        <v>1</v>
      </c>
      <c r="E39" s="4" t="n">
        <f aca="false">COUNTIFS('Backlog técnico'!$I$2:$I$80,"*"&amp;$A39&amp;"*",'Backlog técnico'!$Q$2:$Q$80,E$27)</f>
        <v>0</v>
      </c>
      <c r="F39" s="4" t="n">
        <f aca="false">COUNTIFS('Backlog técnico'!$I$2:$I$80,"*"&amp;$A39&amp;"*",'Backlog técnico'!$Q$2:$Q$80,F$27)</f>
        <v>0</v>
      </c>
      <c r="G39" s="4" t="n">
        <f aca="false">COUNTIFS('Backlog técnico'!$I$2:$I$80,"*"&amp;$A39&amp;"*",'Backlog técnico'!$Q$2:$Q$80,G$27)</f>
        <v>0</v>
      </c>
      <c r="H39" s="4" t="n">
        <f aca="false">COUNTIFS('Backlog técnico'!$I$2:$I$80,"*"&amp;$A39&amp;"*",'Backlog técnico'!$Q$2:$Q$80,H$27)</f>
        <v>0</v>
      </c>
      <c r="I39" s="5" t="n">
        <f aca="false">SUM(C39:H39)</f>
        <v>1</v>
      </c>
    </row>
    <row r="40" customFormat="false" ht="15" hidden="false" customHeight="false" outlineLevel="0" collapsed="false">
      <c r="A40" s="4" t="s">
        <v>51</v>
      </c>
      <c r="B40" s="4" t="s">
        <v>50</v>
      </c>
      <c r="C40" s="4" t="n">
        <f aca="false">COUNTIFS('Backlog técnico'!$I$2:$I$80,"*"&amp;$A40&amp;"*",'Backlog técnico'!$Q$2:$Q$80,C$27)</f>
        <v>0</v>
      </c>
      <c r="D40" s="4" t="n">
        <f aca="false">COUNTIFS('Backlog técnico'!$I$2:$I$80,"*"&amp;$A40&amp;"*",'Backlog técnico'!$Q$2:$Q$80,D$27)</f>
        <v>1</v>
      </c>
      <c r="E40" s="4" t="n">
        <f aca="false">COUNTIFS('Backlog técnico'!$I$2:$I$80,"*"&amp;$A40&amp;"*",'Backlog técnico'!$Q$2:$Q$80,E$27)</f>
        <v>0</v>
      </c>
      <c r="F40" s="4" t="n">
        <f aca="false">COUNTIFS('Backlog técnico'!$I$2:$I$80,"*"&amp;$A40&amp;"*",'Backlog técnico'!$Q$2:$Q$80,F$27)</f>
        <v>0</v>
      </c>
      <c r="G40" s="4" t="n">
        <f aca="false">COUNTIFS('Backlog técnico'!$I$2:$I$80,"*"&amp;$A40&amp;"*",'Backlog técnico'!$Q$2:$Q$80,G$27)</f>
        <v>0</v>
      </c>
      <c r="H40" s="4" t="n">
        <f aca="false">COUNTIFS('Backlog técnico'!$I$2:$I$80,"*"&amp;$A40&amp;"*",'Backlog técnico'!$Q$2:$Q$80,H$27)</f>
        <v>0</v>
      </c>
      <c r="I40" s="5" t="n">
        <f aca="false">SUM(C40:H40)</f>
        <v>1</v>
      </c>
    </row>
    <row r="41" customFormat="false" ht="15" hidden="false" customHeight="false" outlineLevel="0" collapsed="false">
      <c r="A41" s="4" t="s">
        <v>52</v>
      </c>
      <c r="B41" s="4" t="s">
        <v>53</v>
      </c>
      <c r="C41" s="4" t="n">
        <f aca="false">COUNTIFS('Backlog técnico'!$I$2:$I$80,"*"&amp;$A41&amp;"*",'Backlog técnico'!$Q$2:$Q$80,C$27)</f>
        <v>0</v>
      </c>
      <c r="D41" s="4" t="n">
        <f aca="false">COUNTIFS('Backlog técnico'!$I$2:$I$80,"*"&amp;$A41&amp;"*",'Backlog técnico'!$Q$2:$Q$80,D$27)</f>
        <v>1</v>
      </c>
      <c r="E41" s="4" t="n">
        <f aca="false">COUNTIFS('Backlog técnico'!$I$2:$I$80,"*"&amp;$A41&amp;"*",'Backlog técnico'!$Q$2:$Q$80,E$27)</f>
        <v>1</v>
      </c>
      <c r="F41" s="4" t="n">
        <f aca="false">COUNTIFS('Backlog técnico'!$I$2:$I$80,"*"&amp;$A41&amp;"*",'Backlog técnico'!$Q$2:$Q$80,F$27)</f>
        <v>0</v>
      </c>
      <c r="G41" s="4" t="n">
        <f aca="false">COUNTIFS('Backlog técnico'!$I$2:$I$80,"*"&amp;$A41&amp;"*",'Backlog técnico'!$Q$2:$Q$80,G$27)</f>
        <v>0</v>
      </c>
      <c r="H41" s="4" t="n">
        <f aca="false">COUNTIFS('Backlog técnico'!$I$2:$I$80,"*"&amp;$A41&amp;"*",'Backlog técnico'!$Q$2:$Q$80,H$27)</f>
        <v>0</v>
      </c>
      <c r="I41" s="5" t="n">
        <f aca="false">SUM(C41:H41)</f>
        <v>2</v>
      </c>
    </row>
    <row r="42" customFormat="false" ht="15" hidden="false" customHeight="false" outlineLevel="0" collapsed="false">
      <c r="A42" s="4" t="s">
        <v>54</v>
      </c>
      <c r="B42" s="4" t="s">
        <v>53</v>
      </c>
      <c r="C42" s="4" t="n">
        <f aca="false">COUNTIFS('Backlog técnico'!$I$2:$I$80,"*"&amp;$A42&amp;"*",'Backlog técnico'!$Q$2:$Q$80,C$27)</f>
        <v>0</v>
      </c>
      <c r="D42" s="4" t="n">
        <f aca="false">COUNTIFS('Backlog técnico'!$I$2:$I$80,"*"&amp;$A42&amp;"*",'Backlog técnico'!$Q$2:$Q$80,D$27)</f>
        <v>0</v>
      </c>
      <c r="E42" s="4" t="n">
        <f aca="false">COUNTIFS('Backlog técnico'!$I$2:$I$80,"*"&amp;$A42&amp;"*",'Backlog técnico'!$Q$2:$Q$80,E$27)</f>
        <v>1</v>
      </c>
      <c r="F42" s="4" t="n">
        <f aca="false">COUNTIFS('Backlog técnico'!$I$2:$I$80,"*"&amp;$A42&amp;"*",'Backlog técnico'!$Q$2:$Q$80,F$27)</f>
        <v>0</v>
      </c>
      <c r="G42" s="4" t="n">
        <f aca="false">COUNTIFS('Backlog técnico'!$I$2:$I$80,"*"&amp;$A42&amp;"*",'Backlog técnico'!$Q$2:$Q$80,G$27)</f>
        <v>0</v>
      </c>
      <c r="H42" s="4" t="n">
        <f aca="false">COUNTIFS('Backlog técnico'!$I$2:$I$80,"*"&amp;$A42&amp;"*",'Backlog técnico'!$Q$2:$Q$80,H$27)</f>
        <v>0</v>
      </c>
      <c r="I42" s="5" t="n">
        <f aca="false">SUM(C42:H42)</f>
        <v>1</v>
      </c>
    </row>
    <row r="43" customFormat="false" ht="15" hidden="false" customHeight="false" outlineLevel="0" collapsed="false">
      <c r="A43" s="4" t="s">
        <v>55</v>
      </c>
      <c r="B43" s="4" t="s">
        <v>56</v>
      </c>
      <c r="C43" s="4" t="n">
        <f aca="false">COUNTIFS('Backlog técnico'!$I$2:$I$80,"*"&amp;$A43&amp;"*",'Backlog técnico'!$Q$2:$Q$80,C$27)</f>
        <v>0</v>
      </c>
      <c r="D43" s="4" t="n">
        <f aca="false">COUNTIFS('Backlog técnico'!$I$2:$I$80,"*"&amp;$A43&amp;"*",'Backlog técnico'!$Q$2:$Q$80,D$27)</f>
        <v>1</v>
      </c>
      <c r="E43" s="4" t="n">
        <f aca="false">COUNTIFS('Backlog técnico'!$I$2:$I$80,"*"&amp;$A43&amp;"*",'Backlog técnico'!$Q$2:$Q$80,E$27)</f>
        <v>0</v>
      </c>
      <c r="F43" s="4" t="n">
        <f aca="false">COUNTIFS('Backlog técnico'!$I$2:$I$80,"*"&amp;$A43&amp;"*",'Backlog técnico'!$Q$2:$Q$80,F$27)</f>
        <v>0</v>
      </c>
      <c r="G43" s="4" t="n">
        <f aca="false">COUNTIFS('Backlog técnico'!$I$2:$I$80,"*"&amp;$A43&amp;"*",'Backlog técnico'!$Q$2:$Q$80,G$27)</f>
        <v>0</v>
      </c>
      <c r="H43" s="4" t="n">
        <f aca="false">COUNTIFS('Backlog técnico'!$I$2:$I$80,"*"&amp;$A43&amp;"*",'Backlog técnico'!$Q$2:$Q$80,H$27)</f>
        <v>0</v>
      </c>
      <c r="I43" s="5" t="n">
        <f aca="false">SUM(C43:H43)</f>
        <v>1</v>
      </c>
    </row>
    <row r="44" customFormat="false" ht="15" hidden="false" customHeight="false" outlineLevel="0" collapsed="false">
      <c r="A44" s="4" t="s">
        <v>57</v>
      </c>
      <c r="B44" s="4" t="s">
        <v>56</v>
      </c>
      <c r="C44" s="4" t="n">
        <f aca="false">COUNTIFS('Backlog técnico'!$I$2:$I$80,"*"&amp;$A44&amp;"*",'Backlog técnico'!$Q$2:$Q$80,C$27)</f>
        <v>0</v>
      </c>
      <c r="D44" s="4" t="n">
        <f aca="false">COUNTIFS('Backlog técnico'!$I$2:$I$80,"*"&amp;$A44&amp;"*",'Backlog técnico'!$Q$2:$Q$80,D$27)</f>
        <v>1</v>
      </c>
      <c r="E44" s="4" t="n">
        <f aca="false">COUNTIFS('Backlog técnico'!$I$2:$I$80,"*"&amp;$A44&amp;"*",'Backlog técnico'!$Q$2:$Q$80,E$27)</f>
        <v>0</v>
      </c>
      <c r="F44" s="4" t="n">
        <f aca="false">COUNTIFS('Backlog técnico'!$I$2:$I$80,"*"&amp;$A44&amp;"*",'Backlog técnico'!$Q$2:$Q$80,F$27)</f>
        <v>0</v>
      </c>
      <c r="G44" s="4" t="n">
        <f aca="false">COUNTIFS('Backlog técnico'!$I$2:$I$80,"*"&amp;$A44&amp;"*",'Backlog técnico'!$Q$2:$Q$80,G$27)</f>
        <v>0</v>
      </c>
      <c r="H44" s="4" t="n">
        <f aca="false">COUNTIFS('Backlog técnico'!$I$2:$I$80,"*"&amp;$A44&amp;"*",'Backlog técnico'!$Q$2:$Q$80,H$27)</f>
        <v>0</v>
      </c>
      <c r="I44" s="5" t="n">
        <f aca="false">SUM(C44:H44)</f>
        <v>1</v>
      </c>
    </row>
    <row r="45" customFormat="false" ht="15" hidden="false" customHeight="false" outlineLevel="0" collapsed="false">
      <c r="A45" s="4" t="s">
        <v>58</v>
      </c>
      <c r="B45" s="4" t="s">
        <v>59</v>
      </c>
      <c r="C45" s="4" t="n">
        <f aca="false">COUNTIFS('Backlog técnico'!$I$2:$I$80,"*"&amp;$A45&amp;"*",'Backlog técnico'!$Q$2:$Q$80,C$27)</f>
        <v>1</v>
      </c>
      <c r="D45" s="4" t="n">
        <f aca="false">COUNTIFS('Backlog técnico'!$I$2:$I$80,"*"&amp;$A45&amp;"*",'Backlog técnico'!$Q$2:$Q$80,D$27)</f>
        <v>1</v>
      </c>
      <c r="E45" s="4" t="n">
        <f aca="false">COUNTIFS('Backlog técnico'!$I$2:$I$80,"*"&amp;$A45&amp;"*",'Backlog técnico'!$Q$2:$Q$80,E$27)</f>
        <v>0</v>
      </c>
      <c r="F45" s="4" t="n">
        <f aca="false">COUNTIFS('Backlog técnico'!$I$2:$I$80,"*"&amp;$A45&amp;"*",'Backlog técnico'!$Q$2:$Q$80,F$27)</f>
        <v>0</v>
      </c>
      <c r="G45" s="4" t="n">
        <f aca="false">COUNTIFS('Backlog técnico'!$I$2:$I$80,"*"&amp;$A45&amp;"*",'Backlog técnico'!$Q$2:$Q$80,G$27)</f>
        <v>0</v>
      </c>
      <c r="H45" s="4" t="n">
        <f aca="false">COUNTIFS('Backlog técnico'!$I$2:$I$80,"*"&amp;$A45&amp;"*",'Backlog técnico'!$Q$2:$Q$80,H$27)</f>
        <v>0</v>
      </c>
      <c r="I45" s="5" t="n">
        <f aca="false">SUM(C45:H45)</f>
        <v>2</v>
      </c>
    </row>
    <row r="46" customFormat="false" ht="15" hidden="false" customHeight="false" outlineLevel="0" collapsed="false">
      <c r="A46" s="4" t="s">
        <v>60</v>
      </c>
      <c r="B46" s="4" t="s">
        <v>61</v>
      </c>
      <c r="C46" s="4" t="n">
        <f aca="false">COUNTIFS('Backlog técnico'!$I$2:$I$80,"*"&amp;$A46&amp;"*",'Backlog técnico'!$Q$2:$Q$80,C$27)</f>
        <v>1</v>
      </c>
      <c r="D46" s="4" t="n">
        <f aca="false">COUNTIFS('Backlog técnico'!$I$2:$I$80,"*"&amp;$A46&amp;"*",'Backlog técnico'!$Q$2:$Q$80,D$27)</f>
        <v>0</v>
      </c>
      <c r="E46" s="4" t="n">
        <f aca="false">COUNTIFS('Backlog técnico'!$I$2:$I$80,"*"&amp;$A46&amp;"*",'Backlog técnico'!$Q$2:$Q$80,E$27)</f>
        <v>0</v>
      </c>
      <c r="F46" s="4" t="n">
        <f aca="false">COUNTIFS('Backlog técnico'!$I$2:$I$80,"*"&amp;$A46&amp;"*",'Backlog técnico'!$Q$2:$Q$80,F$27)</f>
        <v>0</v>
      </c>
      <c r="G46" s="4" t="n">
        <f aca="false">COUNTIFS('Backlog técnico'!$I$2:$I$80,"*"&amp;$A46&amp;"*",'Backlog técnico'!$Q$2:$Q$80,G$27)</f>
        <v>0</v>
      </c>
      <c r="H46" s="4" t="n">
        <f aca="false">COUNTIFS('Backlog técnico'!$I$2:$I$80,"*"&amp;$A46&amp;"*",'Backlog técnico'!$Q$2:$Q$80,H$27)</f>
        <v>0</v>
      </c>
      <c r="I46" s="5" t="n">
        <f aca="false">SUM(C46:H46)</f>
        <v>1</v>
      </c>
    </row>
    <row r="47" customFormat="false" ht="15" hidden="false" customHeight="false" outlineLevel="0" collapsed="false">
      <c r="A47" s="4" t="s">
        <v>62</v>
      </c>
      <c r="B47" s="4" t="s">
        <v>63</v>
      </c>
      <c r="C47" s="4" t="n">
        <f aca="false">COUNTIFS('Backlog técnico'!$I$2:$I$80,"*"&amp;$A47&amp;"*",'Backlog técnico'!$Q$2:$Q$80,C$27)</f>
        <v>1</v>
      </c>
      <c r="D47" s="4" t="n">
        <f aca="false">COUNTIFS('Backlog técnico'!$I$2:$I$80,"*"&amp;$A47&amp;"*",'Backlog técnico'!$Q$2:$Q$80,D$27)</f>
        <v>0</v>
      </c>
      <c r="E47" s="4" t="n">
        <f aca="false">COUNTIFS('Backlog técnico'!$I$2:$I$80,"*"&amp;$A47&amp;"*",'Backlog técnico'!$Q$2:$Q$80,E$27)</f>
        <v>0</v>
      </c>
      <c r="F47" s="4" t="n">
        <f aca="false">COUNTIFS('Backlog técnico'!$I$2:$I$80,"*"&amp;$A47&amp;"*",'Backlog técnico'!$Q$2:$Q$80,F$27)</f>
        <v>0</v>
      </c>
      <c r="G47" s="4" t="n">
        <f aca="false">COUNTIFS('Backlog técnico'!$I$2:$I$80,"*"&amp;$A47&amp;"*",'Backlog técnico'!$Q$2:$Q$80,G$27)</f>
        <v>0</v>
      </c>
      <c r="H47" s="4" t="n">
        <f aca="false">COUNTIFS('Backlog técnico'!$I$2:$I$80,"*"&amp;$A47&amp;"*",'Backlog técnico'!$Q$2:$Q$80,H$27)</f>
        <v>0</v>
      </c>
      <c r="I47" s="5" t="n">
        <f aca="false">SUM(C47:H47)</f>
        <v>1</v>
      </c>
    </row>
    <row r="48" customFormat="false" ht="15" hidden="false" customHeight="false" outlineLevel="0" collapsed="false">
      <c r="A48" s="4" t="s">
        <v>64</v>
      </c>
      <c r="B48" s="4" t="s">
        <v>65</v>
      </c>
      <c r="C48" s="4" t="n">
        <f aca="false">COUNTIFS('Backlog técnico'!$I$2:$I$80,"*"&amp;$A48&amp;"*",'Backlog técnico'!$Q$2:$Q$80,C$27)</f>
        <v>1</v>
      </c>
      <c r="D48" s="4" t="n">
        <f aca="false">COUNTIFS('Backlog técnico'!$I$2:$I$80,"*"&amp;$A48&amp;"*",'Backlog técnico'!$Q$2:$Q$80,D$27)</f>
        <v>0</v>
      </c>
      <c r="E48" s="4" t="n">
        <f aca="false">COUNTIFS('Backlog técnico'!$I$2:$I$80,"*"&amp;$A48&amp;"*",'Backlog técnico'!$Q$2:$Q$80,E$27)</f>
        <v>0</v>
      </c>
      <c r="F48" s="4" t="n">
        <f aca="false">COUNTIFS('Backlog técnico'!$I$2:$I$80,"*"&amp;$A48&amp;"*",'Backlog técnico'!$Q$2:$Q$80,F$27)</f>
        <v>0</v>
      </c>
      <c r="G48" s="4" t="n">
        <f aca="false">COUNTIFS('Backlog técnico'!$I$2:$I$80,"*"&amp;$A48&amp;"*",'Backlog técnico'!$Q$2:$Q$80,G$27)</f>
        <v>0</v>
      </c>
      <c r="H48" s="4" t="n">
        <f aca="false">COUNTIFS('Backlog técnico'!$I$2:$I$80,"*"&amp;$A48&amp;"*",'Backlog técnico'!$Q$2:$Q$80,H$27)</f>
        <v>0</v>
      </c>
      <c r="I48" s="5" t="n">
        <f aca="false">SUM(C48:H48)</f>
        <v>1</v>
      </c>
    </row>
    <row r="49" customFormat="false" ht="15" hidden="false" customHeight="false" outlineLevel="0" collapsed="false">
      <c r="A49" s="4" t="s">
        <v>66</v>
      </c>
      <c r="B49" s="4" t="s">
        <v>16</v>
      </c>
      <c r="C49" s="4" t="n">
        <f aca="false">COUNTIFS('Backlog técnico'!$I$2:$I$80,"*"&amp;$A49&amp;"*",'Backlog técnico'!$Q$2:$Q$80,C$27)</f>
        <v>1</v>
      </c>
      <c r="D49" s="4" t="n">
        <f aca="false">COUNTIFS('Backlog técnico'!$I$2:$I$80,"*"&amp;$A49&amp;"*",'Backlog técnico'!$Q$2:$Q$80,D$27)</f>
        <v>1</v>
      </c>
      <c r="E49" s="4" t="n">
        <f aca="false">COUNTIFS('Backlog técnico'!$I$2:$I$80,"*"&amp;$A49&amp;"*",'Backlog técnico'!$Q$2:$Q$80,E$27)</f>
        <v>3</v>
      </c>
      <c r="F49" s="4" t="n">
        <f aca="false">COUNTIFS('Backlog técnico'!$I$2:$I$80,"*"&amp;$A49&amp;"*",'Backlog técnico'!$Q$2:$Q$80,F$27)</f>
        <v>0</v>
      </c>
      <c r="G49" s="4" t="n">
        <f aca="false">COUNTIFS('Backlog técnico'!$I$2:$I$80,"*"&amp;$A49&amp;"*",'Backlog técnico'!$Q$2:$Q$80,G$27)</f>
        <v>0</v>
      </c>
      <c r="H49" s="4" t="n">
        <f aca="false">COUNTIFS('Backlog técnico'!$I$2:$I$80,"*"&amp;$A49&amp;"*",'Backlog técnico'!$Q$2:$Q$80,H$27)</f>
        <v>0</v>
      </c>
      <c r="I49" s="5" t="n">
        <f aca="false">SUM(C49:H49)</f>
        <v>5</v>
      </c>
    </row>
    <row r="50" customFormat="false" ht="15" hidden="false" customHeight="false" outlineLevel="0" collapsed="false">
      <c r="A50" s="4" t="s">
        <v>67</v>
      </c>
      <c r="B50" s="4" t="s">
        <v>68</v>
      </c>
      <c r="C50" s="4" t="n">
        <f aca="false">COUNTIFS('Backlog técnico'!$I$2:$I$80,"*"&amp;$A50&amp;"*",'Backlog técnico'!$Q$2:$Q$80,C$27)</f>
        <v>0</v>
      </c>
      <c r="D50" s="4" t="n">
        <f aca="false">COUNTIFS('Backlog técnico'!$I$2:$I$80,"*"&amp;$A50&amp;"*",'Backlog técnico'!$Q$2:$Q$80,D$27)</f>
        <v>1</v>
      </c>
      <c r="E50" s="4" t="n">
        <f aca="false">COUNTIFS('Backlog técnico'!$I$2:$I$80,"*"&amp;$A50&amp;"*",'Backlog técnico'!$Q$2:$Q$80,E$27)</f>
        <v>1</v>
      </c>
      <c r="F50" s="4" t="n">
        <f aca="false">COUNTIFS('Backlog técnico'!$I$2:$I$80,"*"&amp;$A50&amp;"*",'Backlog técnico'!$Q$2:$Q$80,F$27)</f>
        <v>0</v>
      </c>
      <c r="G50" s="4" t="n">
        <f aca="false">COUNTIFS('Backlog técnico'!$I$2:$I$80,"*"&amp;$A50&amp;"*",'Backlog técnico'!$Q$2:$Q$80,G$27)</f>
        <v>1</v>
      </c>
      <c r="H50" s="4" t="n">
        <f aca="false">COUNTIFS('Backlog técnico'!$I$2:$I$80,"*"&amp;$A50&amp;"*",'Backlog técnico'!$Q$2:$Q$80,H$27)</f>
        <v>0</v>
      </c>
      <c r="I50" s="5" t="n">
        <f aca="false">SUM(C50:H50)</f>
        <v>3</v>
      </c>
    </row>
    <row r="51" customFormat="false" ht="15" hidden="false" customHeight="false" outlineLevel="0" collapsed="false">
      <c r="A51" s="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10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15" hidden="false" customHeight="false" outlineLevel="0" collapsed="false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</row>
    <row r="5" customFormat="false" ht="23.85" hidden="false" customHeight="false" outlineLevel="0" collapsed="false">
      <c r="A5" s="14" t="n">
        <v>1</v>
      </c>
      <c r="B5" s="14" t="s">
        <v>79</v>
      </c>
      <c r="C5" s="14" t="s">
        <v>80</v>
      </c>
      <c r="D5" s="14" t="s">
        <v>81</v>
      </c>
      <c r="E5" s="14" t="s">
        <v>82</v>
      </c>
      <c r="F5" s="14" t="n">
        <f aca="false">COUNTIF('Backlog técnico'!$B$2:$B$80,A5)</f>
        <v>10</v>
      </c>
      <c r="G5" s="14" t="n">
        <f aca="false">COUNTIFS('Backlog técnico'!$B$2:$B$80,A5,'Backlog técnico'!$Q$2:$Q$80,"Habilitada")</f>
        <v>4</v>
      </c>
    </row>
    <row r="6" customFormat="false" ht="23.85" hidden="false" customHeight="false" outlineLevel="0" collapsed="false">
      <c r="A6" s="14" t="n">
        <v>2</v>
      </c>
      <c r="B6" s="14" t="s">
        <v>83</v>
      </c>
      <c r="C6" s="14" t="s">
        <v>84</v>
      </c>
      <c r="D6" s="14" t="s">
        <v>85</v>
      </c>
      <c r="E6" s="14" t="s">
        <v>86</v>
      </c>
      <c r="F6" s="14" t="n">
        <f aca="false">COUNTIF('Backlog técnico'!$B$2:$B$80,A6)</f>
        <v>6</v>
      </c>
      <c r="G6" s="14" t="n">
        <f aca="false">COUNTIFS('Backlog técnico'!$B$2:$B$80,A6,'Backlog técnico'!$Q$2:$Q$80,"Habilitada")</f>
        <v>0</v>
      </c>
    </row>
    <row r="7" customFormat="false" ht="23.85" hidden="false" customHeight="false" outlineLevel="0" collapsed="false">
      <c r="A7" s="14" t="n">
        <v>3</v>
      </c>
      <c r="B7" s="14" t="s">
        <v>87</v>
      </c>
      <c r="C7" s="14" t="s">
        <v>88</v>
      </c>
      <c r="D7" s="14" t="s">
        <v>89</v>
      </c>
      <c r="E7" s="14" t="s">
        <v>90</v>
      </c>
      <c r="F7" s="14" t="n">
        <f aca="false">COUNTIF('Backlog técnico'!$B$2:$B$80,A7)</f>
        <v>10</v>
      </c>
      <c r="G7" s="14" t="n">
        <f aca="false">COUNTIFS('Backlog técnico'!$B$2:$B$80,A7,'Backlog técnico'!$Q$2:$Q$80,"Habilitada")</f>
        <v>0</v>
      </c>
    </row>
    <row r="8" customFormat="false" ht="57.45" hidden="false" customHeight="false" outlineLevel="0" collapsed="false">
      <c r="A8" s="14" t="n">
        <v>4</v>
      </c>
      <c r="B8" s="14" t="s">
        <v>91</v>
      </c>
      <c r="C8" s="14" t="s">
        <v>92</v>
      </c>
      <c r="D8" s="14" t="s">
        <v>93</v>
      </c>
      <c r="E8" s="14" t="s">
        <v>94</v>
      </c>
      <c r="F8" s="14" t="n">
        <f aca="false">COUNTIF('Backlog técnico'!$B$2:$B$80,A8)</f>
        <v>33</v>
      </c>
      <c r="G8" s="14" t="n">
        <f aca="false">COUNTIFS('Backlog técnico'!$B$2:$B$80,A8,'Backlog técnico'!$Q$2:$Q$80,"Habilitada")</f>
        <v>0</v>
      </c>
    </row>
    <row r="9" customFormat="false" ht="23.85" hidden="false" customHeight="false" outlineLevel="0" collapsed="false">
      <c r="A9" s="14" t="n">
        <v>5</v>
      </c>
      <c r="B9" s="14" t="s">
        <v>95</v>
      </c>
      <c r="C9" s="14" t="s">
        <v>96</v>
      </c>
      <c r="D9" s="14" t="s">
        <v>97</v>
      </c>
      <c r="E9" s="14" t="s">
        <v>98</v>
      </c>
      <c r="F9" s="14" t="n">
        <f aca="false">COUNTIF('Backlog técnico'!$B$2:$B$80,A9)</f>
        <v>8</v>
      </c>
      <c r="G9" s="14" t="n">
        <f aca="false">COUNTIFS('Backlog técnico'!$B$2:$B$80,A9,'Backlog técnico'!$Q$2:$Q$80,"Habilitada")</f>
        <v>0</v>
      </c>
    </row>
    <row r="10" customFormat="false" ht="23.85" hidden="false" customHeight="false" outlineLevel="0" collapsed="false">
      <c r="A10" s="14" t="n">
        <v>6</v>
      </c>
      <c r="B10" s="14" t="s">
        <v>99</v>
      </c>
      <c r="C10" s="14" t="s">
        <v>100</v>
      </c>
      <c r="D10" s="14" t="s">
        <v>101</v>
      </c>
      <c r="E10" s="14" t="s">
        <v>102</v>
      </c>
      <c r="F10" s="14" t="n">
        <f aca="false">COUNTIF('Backlog técnico'!$B$2:$B$80,A10)</f>
        <v>12</v>
      </c>
      <c r="G10" s="14" t="n">
        <f aca="false">COUNTIFS('Backlog técnico'!$B$2:$B$80,A10,'Backlog técnico'!$Q$2:$Q$80,"Habilitada")</f>
        <v>0</v>
      </c>
    </row>
    <row r="12" customFormat="false" ht="15" hidden="false" customHeight="false" outlineLevel="0" collapsed="false">
      <c r="A12" s="13" t="s">
        <v>103</v>
      </c>
    </row>
    <row r="13" customFormat="false" ht="15" hidden="false" customHeight="false" outlineLevel="0" collapsed="false">
      <c r="A13" s="8" t="s">
        <v>104</v>
      </c>
    </row>
    <row r="14" customFormat="false" ht="15" hidden="false" customHeight="false" outlineLevel="0" collapsed="false">
      <c r="A14" s="8" t="s">
        <v>105</v>
      </c>
    </row>
    <row r="15" customFormat="false" ht="15" hidden="false" customHeight="false" outlineLevel="0" collapsed="false">
      <c r="A15" s="8" t="s">
        <v>106</v>
      </c>
    </row>
    <row r="16" customFormat="false" ht="15" hidden="false" customHeight="false" outlineLevel="0" collapsed="false">
      <c r="A16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8" min="7" style="0" width="16"/>
    <col collapsed="false" customWidth="true" hidden="false" outlineLevel="0" max="9" min="9" style="0" width="26"/>
    <col collapsed="false" customWidth="true" hidden="false" outlineLevel="0" max="10" min="10" style="0" width="46"/>
    <col collapsed="false" customWidth="true" hidden="false" outlineLevel="0" max="11" min="11" style="0" width="50"/>
    <col collapsed="false" customWidth="true" hidden="false" outlineLevel="0" max="12" min="12" style="0" width="52"/>
    <col collapsed="false" customWidth="true" hidden="false" outlineLevel="0" max="13" min="13" style="0" width="34"/>
    <col collapsed="false" customWidth="true" hidden="false" outlineLevel="0" max="14" min="14" style="0" width="18"/>
    <col collapsed="false" customWidth="true" hidden="false" outlineLevel="0" max="15" min="15" style="0" width="52"/>
    <col collapsed="false" customWidth="true" hidden="false" outlineLevel="0" max="16" min="16" style="0" width="70"/>
    <col collapsed="false" customWidth="true" hidden="false" outlineLevel="0" max="17" min="17" style="0" width="16"/>
    <col collapsed="false" customWidth="true" hidden="false" outlineLevel="0" max="18" min="18" style="0" width="34"/>
  </cols>
  <sheetData>
    <row r="1" customFormat="false" ht="23.85" hidden="false" customHeight="false" outlineLevel="0" collapsed="false">
      <c r="A1" s="3" t="s">
        <v>108</v>
      </c>
      <c r="B1" s="3" t="s">
        <v>72</v>
      </c>
      <c r="C1" s="3" t="s">
        <v>73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2</v>
      </c>
      <c r="I1" s="3" t="s">
        <v>29</v>
      </c>
      <c r="J1" s="3" t="s">
        <v>113</v>
      </c>
      <c r="K1" s="3" t="s">
        <v>114</v>
      </c>
      <c r="L1" s="3" t="s">
        <v>115</v>
      </c>
      <c r="M1" s="3" t="s">
        <v>116</v>
      </c>
      <c r="N1" s="3" t="s">
        <v>117</v>
      </c>
      <c r="O1" s="3" t="s">
        <v>118</v>
      </c>
      <c r="P1" s="3" t="s">
        <v>119</v>
      </c>
      <c r="Q1" s="3" t="s">
        <v>120</v>
      </c>
      <c r="R1" s="3" t="s">
        <v>121</v>
      </c>
    </row>
    <row r="2" customFormat="false" ht="35.05" hidden="false" customHeight="false" outlineLevel="0" collapsed="false">
      <c r="A2" s="14" t="s">
        <v>122</v>
      </c>
      <c r="B2" s="14" t="n">
        <v>1</v>
      </c>
      <c r="C2" s="14" t="s">
        <v>79</v>
      </c>
      <c r="D2" s="14" t="s">
        <v>123</v>
      </c>
      <c r="E2" s="14" t="s">
        <v>124</v>
      </c>
      <c r="F2" s="14" t="s">
        <v>125</v>
      </c>
      <c r="G2" s="14" t="s">
        <v>126</v>
      </c>
      <c r="H2" s="14" t="s">
        <v>13</v>
      </c>
      <c r="I2" s="14" t="s">
        <v>60</v>
      </c>
      <c r="J2" s="14" t="s">
        <v>127</v>
      </c>
      <c r="K2" s="14" t="s">
        <v>128</v>
      </c>
      <c r="L2" s="14" t="s">
        <v>129</v>
      </c>
      <c r="M2" s="14" t="s">
        <v>130</v>
      </c>
      <c r="N2" s="14" t="s">
        <v>123</v>
      </c>
      <c r="O2" s="14" t="s">
        <v>131</v>
      </c>
      <c r="P2" s="14" t="s">
        <v>132</v>
      </c>
      <c r="Q2" s="15" t="s">
        <v>3</v>
      </c>
      <c r="R2" s="14"/>
    </row>
    <row r="3" customFormat="false" ht="46.25" hidden="false" customHeight="false" outlineLevel="0" collapsed="false">
      <c r="A3" s="14" t="s">
        <v>133</v>
      </c>
      <c r="B3" s="14" t="n">
        <v>1</v>
      </c>
      <c r="C3" s="14" t="s">
        <v>79</v>
      </c>
      <c r="D3" s="14" t="s">
        <v>123</v>
      </c>
      <c r="E3" s="14" t="s">
        <v>124</v>
      </c>
      <c r="F3" s="14" t="s">
        <v>134</v>
      </c>
      <c r="G3" s="14" t="s">
        <v>135</v>
      </c>
      <c r="H3" s="14" t="s">
        <v>16</v>
      </c>
      <c r="I3" s="14" t="s">
        <v>66</v>
      </c>
      <c r="J3" s="14" t="s">
        <v>136</v>
      </c>
      <c r="K3" s="14" t="s">
        <v>137</v>
      </c>
      <c r="L3" s="14" t="s">
        <v>138</v>
      </c>
      <c r="M3" s="14" t="s">
        <v>139</v>
      </c>
      <c r="N3" s="14" t="s">
        <v>123</v>
      </c>
      <c r="O3" s="14" t="s">
        <v>140</v>
      </c>
      <c r="P3" s="14" t="s">
        <v>141</v>
      </c>
      <c r="Q3" s="15" t="s">
        <v>3</v>
      </c>
      <c r="R3" s="14" t="s">
        <v>142</v>
      </c>
    </row>
    <row r="4" customFormat="false" ht="35.05" hidden="false" customHeight="false" outlineLevel="0" collapsed="false">
      <c r="A4" s="14" t="s">
        <v>143</v>
      </c>
      <c r="B4" s="14" t="n">
        <v>1</v>
      </c>
      <c r="C4" s="14" t="s">
        <v>79</v>
      </c>
      <c r="D4" s="14" t="s">
        <v>123</v>
      </c>
      <c r="E4" s="14" t="s">
        <v>124</v>
      </c>
      <c r="F4" s="14" t="s">
        <v>144</v>
      </c>
      <c r="G4" s="14" t="s">
        <v>135</v>
      </c>
      <c r="H4" s="14" t="s">
        <v>16</v>
      </c>
      <c r="I4" s="14" t="s">
        <v>66</v>
      </c>
      <c r="J4" s="14" t="s">
        <v>145</v>
      </c>
      <c r="K4" s="14" t="s">
        <v>146</v>
      </c>
      <c r="L4" s="14" t="s">
        <v>147</v>
      </c>
      <c r="M4" s="14" t="s">
        <v>139</v>
      </c>
      <c r="N4" s="14" t="s">
        <v>133</v>
      </c>
      <c r="O4" s="14" t="s">
        <v>123</v>
      </c>
      <c r="P4" s="14" t="s">
        <v>148</v>
      </c>
      <c r="Q4" s="16" t="s">
        <v>5</v>
      </c>
      <c r="R4" s="14" t="s">
        <v>149</v>
      </c>
    </row>
    <row r="5" customFormat="false" ht="35.05" hidden="false" customHeight="false" outlineLevel="0" collapsed="false">
      <c r="A5" s="14" t="s">
        <v>150</v>
      </c>
      <c r="B5" s="14" t="n">
        <v>1</v>
      </c>
      <c r="C5" s="14" t="s">
        <v>79</v>
      </c>
      <c r="D5" s="14" t="s">
        <v>123</v>
      </c>
      <c r="E5" s="14" t="s">
        <v>124</v>
      </c>
      <c r="F5" s="14" t="s">
        <v>151</v>
      </c>
      <c r="G5" s="14" t="s">
        <v>152</v>
      </c>
      <c r="H5" s="14" t="s">
        <v>15</v>
      </c>
      <c r="I5" s="14" t="s">
        <v>153</v>
      </c>
      <c r="J5" s="14" t="s">
        <v>154</v>
      </c>
      <c r="K5" s="14" t="s">
        <v>155</v>
      </c>
      <c r="L5" s="14" t="s">
        <v>156</v>
      </c>
      <c r="M5" s="14" t="s">
        <v>157</v>
      </c>
      <c r="N5" s="14" t="s">
        <v>123</v>
      </c>
      <c r="O5" s="14" t="s">
        <v>158</v>
      </c>
      <c r="P5" s="14" t="s">
        <v>159</v>
      </c>
      <c r="Q5" s="15" t="s">
        <v>3</v>
      </c>
      <c r="R5" s="14"/>
    </row>
    <row r="6" customFormat="false" ht="35.05" hidden="false" customHeight="false" outlineLevel="0" collapsed="false">
      <c r="A6" s="14" t="s">
        <v>160</v>
      </c>
      <c r="B6" s="14" t="n">
        <v>1</v>
      </c>
      <c r="C6" s="14" t="s">
        <v>79</v>
      </c>
      <c r="D6" s="14" t="s">
        <v>123</v>
      </c>
      <c r="E6" s="14" t="s">
        <v>124</v>
      </c>
      <c r="F6" s="14" t="s">
        <v>161</v>
      </c>
      <c r="G6" s="14" t="s">
        <v>162</v>
      </c>
      <c r="H6" s="14" t="s">
        <v>13</v>
      </c>
      <c r="I6" s="14" t="s">
        <v>58</v>
      </c>
      <c r="J6" s="14" t="s">
        <v>163</v>
      </c>
      <c r="K6" s="14" t="s">
        <v>164</v>
      </c>
      <c r="L6" s="14" t="s">
        <v>165</v>
      </c>
      <c r="M6" s="14" t="s">
        <v>166</v>
      </c>
      <c r="N6" s="14" t="s">
        <v>123</v>
      </c>
      <c r="O6" s="14" t="s">
        <v>167</v>
      </c>
      <c r="P6" s="14" t="s">
        <v>168</v>
      </c>
      <c r="Q6" s="15" t="s">
        <v>3</v>
      </c>
      <c r="R6" s="14"/>
    </row>
    <row r="7" customFormat="false" ht="35.05" hidden="false" customHeight="false" outlineLevel="0" collapsed="false">
      <c r="A7" s="14" t="s">
        <v>169</v>
      </c>
      <c r="B7" s="14" t="n">
        <v>1</v>
      </c>
      <c r="C7" s="14" t="s">
        <v>79</v>
      </c>
      <c r="D7" s="14" t="s">
        <v>123</v>
      </c>
      <c r="E7" s="14" t="s">
        <v>124</v>
      </c>
      <c r="F7" s="14" t="s">
        <v>170</v>
      </c>
      <c r="G7" s="14" t="s">
        <v>126</v>
      </c>
      <c r="H7" s="14" t="s">
        <v>14</v>
      </c>
      <c r="I7" s="14" t="s">
        <v>171</v>
      </c>
      <c r="J7" s="14" t="s">
        <v>172</v>
      </c>
      <c r="K7" s="14" t="s">
        <v>173</v>
      </c>
      <c r="L7" s="14" t="s">
        <v>174</v>
      </c>
      <c r="M7" s="14" t="s">
        <v>175</v>
      </c>
      <c r="N7" s="14" t="s">
        <v>122</v>
      </c>
      <c r="O7" s="14" t="s">
        <v>176</v>
      </c>
      <c r="P7" s="14" t="s">
        <v>177</v>
      </c>
      <c r="Q7" s="17" t="s">
        <v>4</v>
      </c>
      <c r="R7" s="14" t="s">
        <v>178</v>
      </c>
    </row>
    <row r="8" customFormat="false" ht="46.25" hidden="false" customHeight="false" outlineLevel="0" collapsed="false">
      <c r="A8" s="14" t="s">
        <v>179</v>
      </c>
      <c r="B8" s="14" t="n">
        <v>1</v>
      </c>
      <c r="C8" s="14" t="s">
        <v>79</v>
      </c>
      <c r="D8" s="14" t="s">
        <v>123</v>
      </c>
      <c r="E8" s="14" t="s">
        <v>124</v>
      </c>
      <c r="F8" s="14" t="s">
        <v>180</v>
      </c>
      <c r="G8" s="14" t="s">
        <v>181</v>
      </c>
      <c r="H8" s="14" t="s">
        <v>20</v>
      </c>
      <c r="I8" s="14" t="s">
        <v>67</v>
      </c>
      <c r="J8" s="14" t="s">
        <v>182</v>
      </c>
      <c r="K8" s="14" t="s">
        <v>183</v>
      </c>
      <c r="L8" s="14" t="s">
        <v>184</v>
      </c>
      <c r="M8" s="14" t="s">
        <v>175</v>
      </c>
      <c r="N8" s="14" t="s">
        <v>122</v>
      </c>
      <c r="O8" s="14" t="s">
        <v>185</v>
      </c>
      <c r="P8" s="14" t="s">
        <v>186</v>
      </c>
      <c r="Q8" s="17" t="s">
        <v>4</v>
      </c>
      <c r="R8" s="14" t="s">
        <v>187</v>
      </c>
    </row>
    <row r="9" customFormat="false" ht="35.05" hidden="false" customHeight="false" outlineLevel="0" collapsed="false">
      <c r="A9" s="14" t="s">
        <v>188</v>
      </c>
      <c r="B9" s="14" t="n">
        <v>1</v>
      </c>
      <c r="C9" s="14" t="s">
        <v>79</v>
      </c>
      <c r="D9" s="14" t="s">
        <v>189</v>
      </c>
      <c r="E9" s="14" t="s">
        <v>190</v>
      </c>
      <c r="F9" s="14" t="s">
        <v>191</v>
      </c>
      <c r="G9" s="14" t="s">
        <v>20</v>
      </c>
      <c r="H9" s="14" t="s">
        <v>20</v>
      </c>
      <c r="I9" s="14" t="s">
        <v>67</v>
      </c>
      <c r="J9" s="14" t="s">
        <v>192</v>
      </c>
      <c r="K9" s="14" t="s">
        <v>193</v>
      </c>
      <c r="L9" s="14" t="s">
        <v>174</v>
      </c>
      <c r="M9" s="14" t="s">
        <v>194</v>
      </c>
      <c r="N9" s="14" t="s">
        <v>123</v>
      </c>
      <c r="O9" s="14" t="s">
        <v>195</v>
      </c>
      <c r="P9" s="14" t="s">
        <v>196</v>
      </c>
      <c r="Q9" s="18" t="s">
        <v>7</v>
      </c>
      <c r="R9" s="14" t="s">
        <v>197</v>
      </c>
    </row>
    <row r="10" customFormat="false" ht="46.25" hidden="false" customHeight="false" outlineLevel="0" collapsed="false">
      <c r="A10" s="14" t="s">
        <v>198</v>
      </c>
      <c r="B10" s="14" t="n">
        <v>1</v>
      </c>
      <c r="C10" s="14" t="s">
        <v>79</v>
      </c>
      <c r="D10" s="14" t="s">
        <v>123</v>
      </c>
      <c r="E10" s="14" t="s">
        <v>124</v>
      </c>
      <c r="F10" s="14" t="s">
        <v>199</v>
      </c>
      <c r="G10" s="14" t="s">
        <v>181</v>
      </c>
      <c r="H10" s="14" t="s">
        <v>21</v>
      </c>
      <c r="I10" s="14" t="s">
        <v>200</v>
      </c>
      <c r="J10" s="14" t="s">
        <v>201</v>
      </c>
      <c r="K10" s="14" t="s">
        <v>202</v>
      </c>
      <c r="L10" s="14" t="s">
        <v>203</v>
      </c>
      <c r="M10" s="14" t="s">
        <v>175</v>
      </c>
      <c r="N10" s="14" t="s">
        <v>122</v>
      </c>
      <c r="O10" s="14" t="s">
        <v>204</v>
      </c>
      <c r="P10" s="14" t="s">
        <v>205</v>
      </c>
      <c r="Q10" s="16" t="s">
        <v>5</v>
      </c>
      <c r="R10" s="14" t="s">
        <v>206</v>
      </c>
    </row>
    <row r="11" customFormat="false" ht="35.05" hidden="false" customHeight="false" outlineLevel="0" collapsed="false">
      <c r="A11" s="14" t="s">
        <v>207</v>
      </c>
      <c r="B11" s="14" t="n">
        <v>1</v>
      </c>
      <c r="C11" s="14" t="s">
        <v>79</v>
      </c>
      <c r="D11" s="14" t="s">
        <v>208</v>
      </c>
      <c r="E11" s="14" t="s">
        <v>209</v>
      </c>
      <c r="F11" s="14" t="s">
        <v>210</v>
      </c>
      <c r="G11" s="14" t="s">
        <v>211</v>
      </c>
      <c r="H11" s="14" t="s">
        <v>17</v>
      </c>
      <c r="I11" s="14" t="s">
        <v>212</v>
      </c>
      <c r="J11" s="14" t="s">
        <v>213</v>
      </c>
      <c r="K11" s="14" t="s">
        <v>214</v>
      </c>
      <c r="L11" s="14" t="s">
        <v>215</v>
      </c>
      <c r="M11" s="14" t="s">
        <v>216</v>
      </c>
      <c r="N11" s="14" t="s">
        <v>123</v>
      </c>
      <c r="O11" s="14" t="s">
        <v>217</v>
      </c>
      <c r="P11" s="14" t="s">
        <v>218</v>
      </c>
      <c r="Q11" s="16" t="s">
        <v>5</v>
      </c>
      <c r="R11" s="14" t="s">
        <v>219</v>
      </c>
    </row>
    <row r="12" customFormat="false" ht="46.25" hidden="false" customHeight="false" outlineLevel="0" collapsed="false">
      <c r="A12" s="14" t="s">
        <v>220</v>
      </c>
      <c r="B12" s="14" t="n">
        <v>2</v>
      </c>
      <c r="C12" s="14" t="s">
        <v>83</v>
      </c>
      <c r="D12" s="14" t="s">
        <v>123</v>
      </c>
      <c r="E12" s="14" t="s">
        <v>124</v>
      </c>
      <c r="F12" s="14" t="s">
        <v>221</v>
      </c>
      <c r="G12" s="14" t="s">
        <v>222</v>
      </c>
      <c r="H12" s="14" t="s">
        <v>10</v>
      </c>
      <c r="I12" s="14" t="s">
        <v>33</v>
      </c>
      <c r="J12" s="14" t="s">
        <v>223</v>
      </c>
      <c r="K12" s="14" t="s">
        <v>224</v>
      </c>
      <c r="L12" s="14" t="s">
        <v>225</v>
      </c>
      <c r="M12" s="14" t="s">
        <v>226</v>
      </c>
      <c r="N12" s="14" t="s">
        <v>122</v>
      </c>
      <c r="O12" s="14" t="s">
        <v>227</v>
      </c>
      <c r="P12" s="14" t="s">
        <v>228</v>
      </c>
      <c r="Q12" s="17" t="s">
        <v>4</v>
      </c>
      <c r="R12" s="14" t="s">
        <v>178</v>
      </c>
    </row>
    <row r="13" customFormat="false" ht="35.05" hidden="false" customHeight="false" outlineLevel="0" collapsed="false">
      <c r="A13" s="14" t="s">
        <v>229</v>
      </c>
      <c r="B13" s="14" t="n">
        <v>2</v>
      </c>
      <c r="C13" s="14" t="s">
        <v>83</v>
      </c>
      <c r="D13" s="14" t="s">
        <v>123</v>
      </c>
      <c r="E13" s="14" t="s">
        <v>124</v>
      </c>
      <c r="F13" s="14" t="s">
        <v>230</v>
      </c>
      <c r="G13" s="14" t="s">
        <v>222</v>
      </c>
      <c r="H13" s="14" t="s">
        <v>10</v>
      </c>
      <c r="I13" s="14" t="s">
        <v>35</v>
      </c>
      <c r="J13" s="14" t="s">
        <v>231</v>
      </c>
      <c r="K13" s="14" t="s">
        <v>232</v>
      </c>
      <c r="L13" s="14" t="s">
        <v>233</v>
      </c>
      <c r="M13" s="14" t="s">
        <v>234</v>
      </c>
      <c r="N13" s="14" t="s">
        <v>122</v>
      </c>
      <c r="O13" s="14" t="s">
        <v>217</v>
      </c>
      <c r="P13" s="14" t="s">
        <v>235</v>
      </c>
      <c r="Q13" s="17" t="s">
        <v>4</v>
      </c>
      <c r="R13" s="14" t="s">
        <v>178</v>
      </c>
    </row>
    <row r="14" customFormat="false" ht="57.45" hidden="false" customHeight="false" outlineLevel="0" collapsed="false">
      <c r="A14" s="14" t="s">
        <v>236</v>
      </c>
      <c r="B14" s="14" t="n">
        <v>2</v>
      </c>
      <c r="C14" s="14" t="s">
        <v>83</v>
      </c>
      <c r="D14" s="14" t="s">
        <v>123</v>
      </c>
      <c r="E14" s="14" t="s">
        <v>124</v>
      </c>
      <c r="F14" s="14" t="s">
        <v>237</v>
      </c>
      <c r="G14" s="14" t="s">
        <v>222</v>
      </c>
      <c r="H14" s="14" t="s">
        <v>10</v>
      </c>
      <c r="I14" s="14" t="s">
        <v>31</v>
      </c>
      <c r="J14" s="14" t="s">
        <v>238</v>
      </c>
      <c r="K14" s="14" t="s">
        <v>239</v>
      </c>
      <c r="L14" s="14" t="s">
        <v>240</v>
      </c>
      <c r="M14" s="14" t="s">
        <v>241</v>
      </c>
      <c r="N14" s="14" t="s">
        <v>242</v>
      </c>
      <c r="O14" s="14" t="s">
        <v>217</v>
      </c>
      <c r="P14" s="14" t="s">
        <v>243</v>
      </c>
      <c r="Q14" s="17" t="s">
        <v>4</v>
      </c>
      <c r="R14" s="14" t="s">
        <v>244</v>
      </c>
    </row>
    <row r="15" customFormat="false" ht="46.25" hidden="false" customHeight="false" outlineLevel="0" collapsed="false">
      <c r="A15" s="14" t="s">
        <v>245</v>
      </c>
      <c r="B15" s="14" t="n">
        <v>2</v>
      </c>
      <c r="C15" s="14" t="s">
        <v>83</v>
      </c>
      <c r="D15" s="14" t="s">
        <v>123</v>
      </c>
      <c r="E15" s="14" t="s">
        <v>124</v>
      </c>
      <c r="F15" s="14" t="s">
        <v>246</v>
      </c>
      <c r="G15" s="14" t="s">
        <v>222</v>
      </c>
      <c r="H15" s="14" t="s">
        <v>10</v>
      </c>
      <c r="I15" s="14" t="s">
        <v>36</v>
      </c>
      <c r="J15" s="14" t="s">
        <v>247</v>
      </c>
      <c r="K15" s="14" t="s">
        <v>248</v>
      </c>
      <c r="L15" s="14" t="s">
        <v>249</v>
      </c>
      <c r="M15" s="14" t="s">
        <v>250</v>
      </c>
      <c r="N15" s="14" t="s">
        <v>133</v>
      </c>
      <c r="O15" s="14" t="s">
        <v>251</v>
      </c>
      <c r="P15" s="14" t="s">
        <v>252</v>
      </c>
      <c r="Q15" s="16" t="s">
        <v>5</v>
      </c>
      <c r="R15" s="14" t="s">
        <v>253</v>
      </c>
    </row>
    <row r="16" customFormat="false" ht="46.25" hidden="false" customHeight="false" outlineLevel="0" collapsed="false">
      <c r="A16" s="14" t="s">
        <v>254</v>
      </c>
      <c r="B16" s="14" t="n">
        <v>2</v>
      </c>
      <c r="C16" s="14" t="s">
        <v>83</v>
      </c>
      <c r="D16" s="14" t="s">
        <v>123</v>
      </c>
      <c r="E16" s="14" t="s">
        <v>124</v>
      </c>
      <c r="F16" s="14" t="s">
        <v>255</v>
      </c>
      <c r="G16" s="14" t="s">
        <v>256</v>
      </c>
      <c r="H16" s="14" t="s">
        <v>12</v>
      </c>
      <c r="I16" s="14" t="s">
        <v>54</v>
      </c>
      <c r="J16" s="14" t="s">
        <v>257</v>
      </c>
      <c r="K16" s="14" t="s">
        <v>258</v>
      </c>
      <c r="L16" s="14" t="s">
        <v>259</v>
      </c>
      <c r="M16" s="14" t="s">
        <v>260</v>
      </c>
      <c r="N16" s="14" t="s">
        <v>123</v>
      </c>
      <c r="O16" s="14" t="s">
        <v>261</v>
      </c>
      <c r="P16" s="14" t="s">
        <v>262</v>
      </c>
      <c r="Q16" s="16" t="s">
        <v>5</v>
      </c>
      <c r="R16" s="14" t="s">
        <v>263</v>
      </c>
    </row>
    <row r="17" customFormat="false" ht="35.05" hidden="false" customHeight="false" outlineLevel="0" collapsed="false">
      <c r="A17" s="14" t="s">
        <v>264</v>
      </c>
      <c r="B17" s="14" t="n">
        <v>2</v>
      </c>
      <c r="C17" s="14" t="s">
        <v>83</v>
      </c>
      <c r="D17" s="14" t="s">
        <v>123</v>
      </c>
      <c r="E17" s="14" t="s">
        <v>124</v>
      </c>
      <c r="F17" s="14" t="s">
        <v>265</v>
      </c>
      <c r="G17" s="14" t="s">
        <v>222</v>
      </c>
      <c r="H17" s="14" t="s">
        <v>10</v>
      </c>
      <c r="I17" s="14" t="s">
        <v>37</v>
      </c>
      <c r="J17" s="14" t="s">
        <v>266</v>
      </c>
      <c r="K17" s="14" t="s">
        <v>267</v>
      </c>
      <c r="L17" s="14" t="s">
        <v>268</v>
      </c>
      <c r="M17" s="14" t="s">
        <v>269</v>
      </c>
      <c r="N17" s="14" t="s">
        <v>123</v>
      </c>
      <c r="O17" s="14" t="s">
        <v>217</v>
      </c>
      <c r="P17" s="14" t="s">
        <v>270</v>
      </c>
      <c r="Q17" s="16" t="s">
        <v>5</v>
      </c>
      <c r="R17" s="14" t="s">
        <v>271</v>
      </c>
    </row>
    <row r="18" customFormat="false" ht="57.45" hidden="false" customHeight="false" outlineLevel="0" collapsed="false">
      <c r="A18" s="14" t="s">
        <v>272</v>
      </c>
      <c r="B18" s="14" t="n">
        <v>3</v>
      </c>
      <c r="C18" s="14" t="s">
        <v>87</v>
      </c>
      <c r="D18" s="14" t="s">
        <v>123</v>
      </c>
      <c r="E18" s="14" t="s">
        <v>124</v>
      </c>
      <c r="F18" s="14" t="s">
        <v>273</v>
      </c>
      <c r="G18" s="14" t="s">
        <v>256</v>
      </c>
      <c r="H18" s="14" t="s">
        <v>12</v>
      </c>
      <c r="I18" s="14" t="s">
        <v>274</v>
      </c>
      <c r="J18" s="14" t="s">
        <v>275</v>
      </c>
      <c r="K18" s="14" t="s">
        <v>276</v>
      </c>
      <c r="L18" s="14" t="s">
        <v>277</v>
      </c>
      <c r="M18" s="14" t="s">
        <v>278</v>
      </c>
      <c r="N18" s="14" t="s">
        <v>279</v>
      </c>
      <c r="O18" s="14" t="s">
        <v>280</v>
      </c>
      <c r="P18" s="14" t="s">
        <v>281</v>
      </c>
      <c r="Q18" s="17" t="s">
        <v>4</v>
      </c>
      <c r="R18" s="14" t="s">
        <v>282</v>
      </c>
    </row>
    <row r="19" customFormat="false" ht="57.45" hidden="false" customHeight="false" outlineLevel="0" collapsed="false">
      <c r="A19" s="14" t="s">
        <v>283</v>
      </c>
      <c r="B19" s="14" t="n">
        <v>3</v>
      </c>
      <c r="C19" s="14" t="s">
        <v>87</v>
      </c>
      <c r="D19" s="14" t="s">
        <v>123</v>
      </c>
      <c r="E19" s="14" t="s">
        <v>124</v>
      </c>
      <c r="F19" s="14" t="s">
        <v>284</v>
      </c>
      <c r="G19" s="14" t="s">
        <v>256</v>
      </c>
      <c r="H19" s="14" t="s">
        <v>12</v>
      </c>
      <c r="I19" s="14" t="s">
        <v>285</v>
      </c>
      <c r="J19" s="14" t="s">
        <v>286</v>
      </c>
      <c r="K19" s="14" t="s">
        <v>287</v>
      </c>
      <c r="L19" s="14" t="s">
        <v>288</v>
      </c>
      <c r="M19" s="14" t="s">
        <v>289</v>
      </c>
      <c r="N19" s="14" t="s">
        <v>150</v>
      </c>
      <c r="O19" s="14" t="s">
        <v>290</v>
      </c>
      <c r="P19" s="14" t="s">
        <v>291</v>
      </c>
      <c r="Q19" s="17" t="s">
        <v>4</v>
      </c>
      <c r="R19" s="14" t="s">
        <v>292</v>
      </c>
    </row>
    <row r="20" customFormat="false" ht="57.45" hidden="false" customHeight="false" outlineLevel="0" collapsed="false">
      <c r="A20" s="14" t="s">
        <v>293</v>
      </c>
      <c r="B20" s="14" t="n">
        <v>3</v>
      </c>
      <c r="C20" s="14" t="s">
        <v>87</v>
      </c>
      <c r="D20" s="14" t="s">
        <v>123</v>
      </c>
      <c r="E20" s="14" t="s">
        <v>124</v>
      </c>
      <c r="F20" s="14" t="s">
        <v>294</v>
      </c>
      <c r="G20" s="14" t="s">
        <v>256</v>
      </c>
      <c r="H20" s="14" t="s">
        <v>12</v>
      </c>
      <c r="I20" s="14" t="s">
        <v>52</v>
      </c>
      <c r="J20" s="14" t="s">
        <v>295</v>
      </c>
      <c r="K20" s="14" t="s">
        <v>296</v>
      </c>
      <c r="L20" s="14" t="s">
        <v>297</v>
      </c>
      <c r="M20" s="14" t="s">
        <v>289</v>
      </c>
      <c r="N20" s="14" t="s">
        <v>150</v>
      </c>
      <c r="O20" s="14" t="s">
        <v>298</v>
      </c>
      <c r="P20" s="14" t="s">
        <v>299</v>
      </c>
      <c r="Q20" s="17" t="s">
        <v>4</v>
      </c>
      <c r="R20" s="14" t="s">
        <v>292</v>
      </c>
    </row>
    <row r="21" customFormat="false" ht="68.65" hidden="false" customHeight="false" outlineLevel="0" collapsed="false">
      <c r="A21" s="14" t="s">
        <v>300</v>
      </c>
      <c r="B21" s="14" t="n">
        <v>3</v>
      </c>
      <c r="C21" s="14" t="s">
        <v>87</v>
      </c>
      <c r="D21" s="14" t="s">
        <v>123</v>
      </c>
      <c r="E21" s="14" t="s">
        <v>124</v>
      </c>
      <c r="F21" s="14" t="s">
        <v>301</v>
      </c>
      <c r="G21" s="14" t="s">
        <v>256</v>
      </c>
      <c r="H21" s="14" t="s">
        <v>12</v>
      </c>
      <c r="I21" s="14" t="s">
        <v>52</v>
      </c>
      <c r="J21" s="14" t="s">
        <v>302</v>
      </c>
      <c r="K21" s="14" t="s">
        <v>303</v>
      </c>
      <c r="L21" s="14" t="s">
        <v>304</v>
      </c>
      <c r="M21" s="14" t="s">
        <v>278</v>
      </c>
      <c r="N21" s="14" t="s">
        <v>305</v>
      </c>
      <c r="O21" s="14" t="s">
        <v>306</v>
      </c>
      <c r="P21" s="14" t="s">
        <v>307</v>
      </c>
      <c r="Q21" s="16" t="s">
        <v>5</v>
      </c>
      <c r="R21" s="14" t="s">
        <v>308</v>
      </c>
    </row>
    <row r="22" customFormat="false" ht="46.25" hidden="false" customHeight="false" outlineLevel="0" collapsed="false">
      <c r="A22" s="14" t="s">
        <v>309</v>
      </c>
      <c r="B22" s="14" t="n">
        <v>3</v>
      </c>
      <c r="C22" s="14" t="s">
        <v>87</v>
      </c>
      <c r="D22" s="14" t="s">
        <v>310</v>
      </c>
      <c r="E22" s="14" t="s">
        <v>209</v>
      </c>
      <c r="F22" s="14" t="s">
        <v>311</v>
      </c>
      <c r="G22" s="14" t="s">
        <v>222</v>
      </c>
      <c r="H22" s="14" t="s">
        <v>10</v>
      </c>
      <c r="I22" s="14" t="s">
        <v>36</v>
      </c>
      <c r="J22" s="14" t="s">
        <v>312</v>
      </c>
      <c r="K22" s="14" t="s">
        <v>313</v>
      </c>
      <c r="L22" s="14" t="s">
        <v>314</v>
      </c>
      <c r="M22" s="14" t="s">
        <v>315</v>
      </c>
      <c r="N22" s="14" t="s">
        <v>133</v>
      </c>
      <c r="O22" s="14" t="s">
        <v>316</v>
      </c>
      <c r="P22" s="14" t="s">
        <v>317</v>
      </c>
      <c r="Q22" s="17" t="s">
        <v>4</v>
      </c>
      <c r="R22" s="14" t="s">
        <v>318</v>
      </c>
    </row>
    <row r="23" customFormat="false" ht="46.25" hidden="false" customHeight="false" outlineLevel="0" collapsed="false">
      <c r="A23" s="14" t="s">
        <v>319</v>
      </c>
      <c r="B23" s="14" t="n">
        <v>3</v>
      </c>
      <c r="C23" s="14" t="s">
        <v>87</v>
      </c>
      <c r="D23" s="14" t="s">
        <v>310</v>
      </c>
      <c r="E23" s="14" t="s">
        <v>209</v>
      </c>
      <c r="F23" s="14" t="s">
        <v>320</v>
      </c>
      <c r="G23" s="14" t="s">
        <v>321</v>
      </c>
      <c r="H23" s="14" t="s">
        <v>18</v>
      </c>
      <c r="I23" s="14" t="s">
        <v>322</v>
      </c>
      <c r="J23" s="14" t="s">
        <v>323</v>
      </c>
      <c r="K23" s="14" t="s">
        <v>324</v>
      </c>
      <c r="L23" s="14" t="s">
        <v>325</v>
      </c>
      <c r="M23" s="14" t="s">
        <v>326</v>
      </c>
      <c r="N23" s="14" t="s">
        <v>133</v>
      </c>
      <c r="O23" s="14" t="s">
        <v>327</v>
      </c>
      <c r="P23" s="14" t="s">
        <v>328</v>
      </c>
      <c r="Q23" s="17" t="s">
        <v>4</v>
      </c>
      <c r="R23" s="14" t="s">
        <v>318</v>
      </c>
    </row>
    <row r="24" customFormat="false" ht="68.65" hidden="false" customHeight="false" outlineLevel="0" collapsed="false">
      <c r="A24" s="14" t="s">
        <v>329</v>
      </c>
      <c r="B24" s="14" t="n">
        <v>3</v>
      </c>
      <c r="C24" s="14" t="s">
        <v>87</v>
      </c>
      <c r="D24" s="14" t="s">
        <v>330</v>
      </c>
      <c r="E24" s="14" t="s">
        <v>209</v>
      </c>
      <c r="F24" s="14" t="s">
        <v>331</v>
      </c>
      <c r="G24" s="14" t="s">
        <v>222</v>
      </c>
      <c r="H24" s="14" t="s">
        <v>10</v>
      </c>
      <c r="I24" s="14" t="s">
        <v>36</v>
      </c>
      <c r="J24" s="14" t="s">
        <v>332</v>
      </c>
      <c r="K24" s="14" t="s">
        <v>333</v>
      </c>
      <c r="L24" s="14" t="s">
        <v>334</v>
      </c>
      <c r="M24" s="14" t="s">
        <v>315</v>
      </c>
      <c r="N24" s="14" t="s">
        <v>335</v>
      </c>
      <c r="O24" s="14" t="s">
        <v>336</v>
      </c>
      <c r="P24" s="14" t="s">
        <v>337</v>
      </c>
      <c r="Q24" s="16" t="s">
        <v>5</v>
      </c>
      <c r="R24" s="14" t="s">
        <v>338</v>
      </c>
    </row>
    <row r="25" customFormat="false" ht="57.45" hidden="false" customHeight="false" outlineLevel="0" collapsed="false">
      <c r="A25" s="14" t="s">
        <v>339</v>
      </c>
      <c r="B25" s="14" t="n">
        <v>3</v>
      </c>
      <c r="C25" s="14" t="s">
        <v>87</v>
      </c>
      <c r="D25" s="14" t="s">
        <v>330</v>
      </c>
      <c r="E25" s="14" t="s">
        <v>209</v>
      </c>
      <c r="F25" s="14" t="s">
        <v>340</v>
      </c>
      <c r="G25" s="14" t="s">
        <v>321</v>
      </c>
      <c r="H25" s="14" t="s">
        <v>11</v>
      </c>
      <c r="I25" s="14" t="s">
        <v>40</v>
      </c>
      <c r="J25" s="14" t="s">
        <v>341</v>
      </c>
      <c r="K25" s="14" t="s">
        <v>342</v>
      </c>
      <c r="L25" s="14" t="s">
        <v>343</v>
      </c>
      <c r="M25" s="14" t="s">
        <v>344</v>
      </c>
      <c r="N25" s="14" t="s">
        <v>329</v>
      </c>
      <c r="O25" s="14" t="s">
        <v>327</v>
      </c>
      <c r="P25" s="14" t="s">
        <v>345</v>
      </c>
      <c r="Q25" s="17" t="s">
        <v>4</v>
      </c>
      <c r="R25" s="14" t="s">
        <v>346</v>
      </c>
    </row>
    <row r="26" customFormat="false" ht="46.25" hidden="false" customHeight="false" outlineLevel="0" collapsed="false">
      <c r="A26" s="14" t="s">
        <v>347</v>
      </c>
      <c r="B26" s="14" t="n">
        <v>3</v>
      </c>
      <c r="C26" s="14" t="s">
        <v>87</v>
      </c>
      <c r="D26" s="14" t="s">
        <v>123</v>
      </c>
      <c r="E26" s="14" t="s">
        <v>124</v>
      </c>
      <c r="F26" s="14" t="s">
        <v>348</v>
      </c>
      <c r="G26" s="14" t="s">
        <v>222</v>
      </c>
      <c r="H26" s="14" t="s">
        <v>10</v>
      </c>
      <c r="I26" s="14" t="s">
        <v>31</v>
      </c>
      <c r="J26" s="14" t="s">
        <v>349</v>
      </c>
      <c r="K26" s="14" t="s">
        <v>350</v>
      </c>
      <c r="L26" s="14" t="s">
        <v>351</v>
      </c>
      <c r="M26" s="14" t="s">
        <v>250</v>
      </c>
      <c r="N26" s="14" t="s">
        <v>236</v>
      </c>
      <c r="O26" s="14" t="s">
        <v>217</v>
      </c>
      <c r="P26" s="14" t="s">
        <v>352</v>
      </c>
      <c r="Q26" s="16" t="s">
        <v>5</v>
      </c>
      <c r="R26" s="14" t="s">
        <v>353</v>
      </c>
    </row>
    <row r="27" customFormat="false" ht="35.05" hidden="false" customHeight="false" outlineLevel="0" collapsed="false">
      <c r="A27" s="14" t="s">
        <v>354</v>
      </c>
      <c r="B27" s="14" t="n">
        <v>3</v>
      </c>
      <c r="C27" s="14" t="s">
        <v>87</v>
      </c>
      <c r="D27" s="14" t="s">
        <v>355</v>
      </c>
      <c r="E27" s="14" t="s">
        <v>356</v>
      </c>
      <c r="F27" s="14" t="s">
        <v>357</v>
      </c>
      <c r="G27" s="14" t="s">
        <v>321</v>
      </c>
      <c r="H27" s="14" t="s">
        <v>11</v>
      </c>
      <c r="I27" s="14" t="s">
        <v>38</v>
      </c>
      <c r="J27" s="14" t="s">
        <v>358</v>
      </c>
      <c r="K27" s="14" t="s">
        <v>359</v>
      </c>
      <c r="L27" s="14" t="s">
        <v>360</v>
      </c>
      <c r="M27" s="14" t="s">
        <v>361</v>
      </c>
      <c r="N27" s="14" t="s">
        <v>347</v>
      </c>
      <c r="O27" s="14" t="s">
        <v>327</v>
      </c>
      <c r="P27" s="14" t="s">
        <v>362</v>
      </c>
      <c r="Q27" s="16" t="s">
        <v>5</v>
      </c>
      <c r="R27" s="14" t="s">
        <v>363</v>
      </c>
    </row>
    <row r="28" customFormat="false" ht="46.25" hidden="false" customHeight="false" outlineLevel="0" collapsed="false">
      <c r="A28" s="14" t="s">
        <v>364</v>
      </c>
      <c r="B28" s="14" t="n">
        <v>4</v>
      </c>
      <c r="C28" s="14" t="s">
        <v>91</v>
      </c>
      <c r="D28" s="14" t="s">
        <v>365</v>
      </c>
      <c r="E28" s="14" t="s">
        <v>366</v>
      </c>
      <c r="F28" s="14" t="s">
        <v>367</v>
      </c>
      <c r="G28" s="14" t="s">
        <v>222</v>
      </c>
      <c r="H28" s="14" t="s">
        <v>10</v>
      </c>
      <c r="I28" s="14" t="s">
        <v>37</v>
      </c>
      <c r="J28" s="14" t="s">
        <v>368</v>
      </c>
      <c r="K28" s="14" t="s">
        <v>369</v>
      </c>
      <c r="L28" s="14" t="s">
        <v>370</v>
      </c>
      <c r="M28" s="14" t="s">
        <v>371</v>
      </c>
      <c r="N28" s="14" t="s">
        <v>236</v>
      </c>
      <c r="O28" s="14" t="s">
        <v>217</v>
      </c>
      <c r="P28" s="14" t="s">
        <v>372</v>
      </c>
      <c r="Q28" s="17" t="s">
        <v>4</v>
      </c>
      <c r="R28" s="14" t="s">
        <v>373</v>
      </c>
    </row>
    <row r="29" customFormat="false" ht="35.05" hidden="false" customHeight="false" outlineLevel="0" collapsed="false">
      <c r="A29" s="14" t="s">
        <v>374</v>
      </c>
      <c r="B29" s="14" t="n">
        <v>4</v>
      </c>
      <c r="C29" s="14" t="s">
        <v>91</v>
      </c>
      <c r="D29" s="14" t="s">
        <v>365</v>
      </c>
      <c r="E29" s="14" t="s">
        <v>366</v>
      </c>
      <c r="F29" s="14" t="s">
        <v>375</v>
      </c>
      <c r="G29" s="14" t="s">
        <v>321</v>
      </c>
      <c r="H29" s="14" t="s">
        <v>11</v>
      </c>
      <c r="I29" s="14" t="s">
        <v>40</v>
      </c>
      <c r="J29" s="14" t="s">
        <v>376</v>
      </c>
      <c r="K29" s="14" t="s">
        <v>377</v>
      </c>
      <c r="L29" s="14" t="s">
        <v>378</v>
      </c>
      <c r="M29" s="14" t="s">
        <v>361</v>
      </c>
      <c r="N29" s="14" t="s">
        <v>364</v>
      </c>
      <c r="O29" s="14" t="s">
        <v>327</v>
      </c>
      <c r="P29" s="14" t="s">
        <v>379</v>
      </c>
      <c r="Q29" s="17" t="s">
        <v>4</v>
      </c>
      <c r="R29" s="14" t="s">
        <v>380</v>
      </c>
    </row>
    <row r="30" customFormat="false" ht="57.45" hidden="false" customHeight="false" outlineLevel="0" collapsed="false">
      <c r="A30" s="14" t="s">
        <v>381</v>
      </c>
      <c r="B30" s="14" t="n">
        <v>4</v>
      </c>
      <c r="C30" s="14" t="s">
        <v>91</v>
      </c>
      <c r="D30" s="14" t="s">
        <v>382</v>
      </c>
      <c r="E30" s="14" t="s">
        <v>366</v>
      </c>
      <c r="F30" s="14" t="s">
        <v>383</v>
      </c>
      <c r="G30" s="14" t="s">
        <v>222</v>
      </c>
      <c r="H30" s="14" t="s">
        <v>10</v>
      </c>
      <c r="I30" s="14" t="s">
        <v>37</v>
      </c>
      <c r="J30" s="14" t="s">
        <v>384</v>
      </c>
      <c r="K30" s="14" t="s">
        <v>385</v>
      </c>
      <c r="L30" s="14" t="s">
        <v>386</v>
      </c>
      <c r="M30" s="14" t="s">
        <v>371</v>
      </c>
      <c r="N30" s="14" t="s">
        <v>387</v>
      </c>
      <c r="O30" s="14" t="s">
        <v>217</v>
      </c>
      <c r="P30" s="14" t="s">
        <v>388</v>
      </c>
      <c r="Q30" s="17" t="s">
        <v>4</v>
      </c>
      <c r="R30" s="14" t="s">
        <v>389</v>
      </c>
    </row>
    <row r="31" customFormat="false" ht="35.05" hidden="false" customHeight="false" outlineLevel="0" collapsed="false">
      <c r="A31" s="14" t="s">
        <v>390</v>
      </c>
      <c r="B31" s="14" t="n">
        <v>4</v>
      </c>
      <c r="C31" s="14" t="s">
        <v>91</v>
      </c>
      <c r="D31" s="14" t="s">
        <v>382</v>
      </c>
      <c r="E31" s="14" t="s">
        <v>366</v>
      </c>
      <c r="F31" s="14" t="s">
        <v>391</v>
      </c>
      <c r="G31" s="14" t="s">
        <v>321</v>
      </c>
      <c r="H31" s="14" t="s">
        <v>11</v>
      </c>
      <c r="I31" s="14" t="s">
        <v>40</v>
      </c>
      <c r="J31" s="14" t="s">
        <v>392</v>
      </c>
      <c r="K31" s="14" t="s">
        <v>393</v>
      </c>
      <c r="L31" s="14" t="s">
        <v>394</v>
      </c>
      <c r="M31" s="14" t="s">
        <v>361</v>
      </c>
      <c r="N31" s="14" t="s">
        <v>381</v>
      </c>
      <c r="O31" s="14" t="s">
        <v>327</v>
      </c>
      <c r="P31" s="14" t="s">
        <v>395</v>
      </c>
      <c r="Q31" s="17" t="s">
        <v>4</v>
      </c>
      <c r="R31" s="14" t="s">
        <v>396</v>
      </c>
    </row>
    <row r="32" customFormat="false" ht="57.45" hidden="false" customHeight="false" outlineLevel="0" collapsed="false">
      <c r="A32" s="14" t="s">
        <v>397</v>
      </c>
      <c r="B32" s="14" t="n">
        <v>4</v>
      </c>
      <c r="C32" s="14" t="s">
        <v>91</v>
      </c>
      <c r="D32" s="14" t="s">
        <v>398</v>
      </c>
      <c r="E32" s="14" t="s">
        <v>366</v>
      </c>
      <c r="F32" s="14" t="s">
        <v>399</v>
      </c>
      <c r="G32" s="14" t="s">
        <v>222</v>
      </c>
      <c r="H32" s="14" t="s">
        <v>10</v>
      </c>
      <c r="I32" s="14" t="s">
        <v>37</v>
      </c>
      <c r="J32" s="14" t="s">
        <v>400</v>
      </c>
      <c r="K32" s="14" t="s">
        <v>401</v>
      </c>
      <c r="L32" s="14" t="s">
        <v>402</v>
      </c>
      <c r="M32" s="14" t="s">
        <v>371</v>
      </c>
      <c r="N32" s="14" t="s">
        <v>236</v>
      </c>
      <c r="O32" s="14" t="s">
        <v>217</v>
      </c>
      <c r="P32" s="14" t="s">
        <v>403</v>
      </c>
      <c r="Q32" s="17" t="s">
        <v>4</v>
      </c>
      <c r="R32" s="14" t="s">
        <v>373</v>
      </c>
    </row>
    <row r="33" customFormat="false" ht="35.05" hidden="false" customHeight="false" outlineLevel="0" collapsed="false">
      <c r="A33" s="14" t="s">
        <v>404</v>
      </c>
      <c r="B33" s="14" t="n">
        <v>4</v>
      </c>
      <c r="C33" s="14" t="s">
        <v>91</v>
      </c>
      <c r="D33" s="14" t="s">
        <v>398</v>
      </c>
      <c r="E33" s="14" t="s">
        <v>366</v>
      </c>
      <c r="F33" s="14" t="s">
        <v>405</v>
      </c>
      <c r="G33" s="14" t="s">
        <v>321</v>
      </c>
      <c r="H33" s="14" t="s">
        <v>11</v>
      </c>
      <c r="I33" s="14" t="s">
        <v>40</v>
      </c>
      <c r="J33" s="14" t="s">
        <v>406</v>
      </c>
      <c r="K33" s="14" t="s">
        <v>407</v>
      </c>
      <c r="L33" s="14" t="s">
        <v>408</v>
      </c>
      <c r="M33" s="14" t="s">
        <v>361</v>
      </c>
      <c r="N33" s="14" t="s">
        <v>397</v>
      </c>
      <c r="O33" s="14" t="s">
        <v>327</v>
      </c>
      <c r="P33" s="14" t="s">
        <v>409</v>
      </c>
      <c r="Q33" s="17" t="s">
        <v>4</v>
      </c>
      <c r="R33" s="14" t="s">
        <v>410</v>
      </c>
    </row>
    <row r="34" customFormat="false" ht="68.65" hidden="false" customHeight="false" outlineLevel="0" collapsed="false">
      <c r="A34" s="14" t="s">
        <v>411</v>
      </c>
      <c r="B34" s="14" t="n">
        <v>4</v>
      </c>
      <c r="C34" s="14" t="s">
        <v>91</v>
      </c>
      <c r="D34" s="14" t="s">
        <v>412</v>
      </c>
      <c r="E34" s="14" t="s">
        <v>366</v>
      </c>
      <c r="F34" s="14" t="s">
        <v>413</v>
      </c>
      <c r="G34" s="14" t="s">
        <v>222</v>
      </c>
      <c r="H34" s="14" t="s">
        <v>10</v>
      </c>
      <c r="I34" s="14" t="s">
        <v>37</v>
      </c>
      <c r="J34" s="14" t="s">
        <v>414</v>
      </c>
      <c r="K34" s="14" t="s">
        <v>415</v>
      </c>
      <c r="L34" s="14" t="s">
        <v>416</v>
      </c>
      <c r="M34" s="14" t="s">
        <v>371</v>
      </c>
      <c r="N34" s="14" t="s">
        <v>381</v>
      </c>
      <c r="O34" s="14" t="s">
        <v>417</v>
      </c>
      <c r="P34" s="14" t="s">
        <v>418</v>
      </c>
      <c r="Q34" s="17" t="s">
        <v>4</v>
      </c>
      <c r="R34" s="14" t="s">
        <v>396</v>
      </c>
    </row>
    <row r="35" customFormat="false" ht="35.05" hidden="false" customHeight="false" outlineLevel="0" collapsed="false">
      <c r="A35" s="14" t="s">
        <v>419</v>
      </c>
      <c r="B35" s="14" t="n">
        <v>4</v>
      </c>
      <c r="C35" s="14" t="s">
        <v>91</v>
      </c>
      <c r="D35" s="14" t="s">
        <v>412</v>
      </c>
      <c r="E35" s="14" t="s">
        <v>366</v>
      </c>
      <c r="F35" s="14" t="s">
        <v>420</v>
      </c>
      <c r="G35" s="14" t="s">
        <v>321</v>
      </c>
      <c r="H35" s="14" t="s">
        <v>11</v>
      </c>
      <c r="I35" s="14" t="s">
        <v>40</v>
      </c>
      <c r="J35" s="14" t="s">
        <v>421</v>
      </c>
      <c r="K35" s="14" t="s">
        <v>422</v>
      </c>
      <c r="L35" s="14" t="s">
        <v>423</v>
      </c>
      <c r="M35" s="14" t="s">
        <v>361</v>
      </c>
      <c r="N35" s="14" t="s">
        <v>411</v>
      </c>
      <c r="O35" s="14" t="s">
        <v>327</v>
      </c>
      <c r="P35" s="14" t="s">
        <v>424</v>
      </c>
      <c r="Q35" s="17" t="s">
        <v>4</v>
      </c>
      <c r="R35" s="14" t="s">
        <v>425</v>
      </c>
    </row>
    <row r="36" customFormat="false" ht="57.45" hidden="false" customHeight="false" outlineLevel="0" collapsed="false">
      <c r="A36" s="14" t="s">
        <v>426</v>
      </c>
      <c r="B36" s="14" t="n">
        <v>4</v>
      </c>
      <c r="C36" s="14" t="s">
        <v>91</v>
      </c>
      <c r="D36" s="14" t="s">
        <v>427</v>
      </c>
      <c r="E36" s="14" t="s">
        <v>366</v>
      </c>
      <c r="F36" s="14" t="s">
        <v>428</v>
      </c>
      <c r="G36" s="14" t="s">
        <v>222</v>
      </c>
      <c r="H36" s="14" t="s">
        <v>10</v>
      </c>
      <c r="I36" s="14" t="s">
        <v>37</v>
      </c>
      <c r="J36" s="14" t="s">
        <v>429</v>
      </c>
      <c r="K36" s="14" t="s">
        <v>430</v>
      </c>
      <c r="L36" s="14" t="s">
        <v>431</v>
      </c>
      <c r="M36" s="14" t="s">
        <v>371</v>
      </c>
      <c r="N36" s="14" t="s">
        <v>381</v>
      </c>
      <c r="O36" s="14" t="s">
        <v>432</v>
      </c>
      <c r="P36" s="14" t="s">
        <v>433</v>
      </c>
      <c r="Q36" s="17" t="s">
        <v>4</v>
      </c>
      <c r="R36" s="14" t="s">
        <v>396</v>
      </c>
    </row>
    <row r="37" customFormat="false" ht="35.05" hidden="false" customHeight="false" outlineLevel="0" collapsed="false">
      <c r="A37" s="14" t="s">
        <v>434</v>
      </c>
      <c r="B37" s="14" t="n">
        <v>4</v>
      </c>
      <c r="C37" s="14" t="s">
        <v>91</v>
      </c>
      <c r="D37" s="14" t="s">
        <v>427</v>
      </c>
      <c r="E37" s="14" t="s">
        <v>366</v>
      </c>
      <c r="F37" s="14" t="s">
        <v>435</v>
      </c>
      <c r="G37" s="14" t="s">
        <v>321</v>
      </c>
      <c r="H37" s="14" t="s">
        <v>11</v>
      </c>
      <c r="I37" s="14" t="s">
        <v>40</v>
      </c>
      <c r="J37" s="14" t="s">
        <v>436</v>
      </c>
      <c r="K37" s="14" t="s">
        <v>437</v>
      </c>
      <c r="L37" s="14" t="s">
        <v>438</v>
      </c>
      <c r="M37" s="14" t="s">
        <v>361</v>
      </c>
      <c r="N37" s="14" t="s">
        <v>426</v>
      </c>
      <c r="O37" s="14" t="s">
        <v>327</v>
      </c>
      <c r="P37" s="14" t="s">
        <v>439</v>
      </c>
      <c r="Q37" s="17" t="s">
        <v>4</v>
      </c>
      <c r="R37" s="14" t="s">
        <v>440</v>
      </c>
    </row>
    <row r="38" customFormat="false" ht="35.05" hidden="false" customHeight="false" outlineLevel="0" collapsed="false">
      <c r="A38" s="14" t="s">
        <v>441</v>
      </c>
      <c r="B38" s="14" t="n">
        <v>4</v>
      </c>
      <c r="C38" s="14" t="s">
        <v>91</v>
      </c>
      <c r="D38" s="14" t="s">
        <v>442</v>
      </c>
      <c r="E38" s="14" t="s">
        <v>443</v>
      </c>
      <c r="F38" s="14" t="s">
        <v>444</v>
      </c>
      <c r="G38" s="14" t="s">
        <v>445</v>
      </c>
      <c r="H38" s="14" t="s">
        <v>10</v>
      </c>
      <c r="I38" s="14" t="s">
        <v>35</v>
      </c>
      <c r="J38" s="14" t="s">
        <v>446</v>
      </c>
      <c r="K38" s="14" t="s">
        <v>447</v>
      </c>
      <c r="L38" s="14" t="s">
        <v>448</v>
      </c>
      <c r="M38" s="14" t="s">
        <v>449</v>
      </c>
      <c r="N38" s="14" t="s">
        <v>450</v>
      </c>
      <c r="O38" s="14" t="s">
        <v>217</v>
      </c>
      <c r="P38" s="14" t="s">
        <v>451</v>
      </c>
      <c r="Q38" s="16" t="s">
        <v>5</v>
      </c>
      <c r="R38" s="14" t="s">
        <v>452</v>
      </c>
    </row>
    <row r="39" customFormat="false" ht="35.05" hidden="false" customHeight="false" outlineLevel="0" collapsed="false">
      <c r="A39" s="14" t="s">
        <v>453</v>
      </c>
      <c r="B39" s="14" t="n">
        <v>4</v>
      </c>
      <c r="C39" s="14" t="s">
        <v>91</v>
      </c>
      <c r="D39" s="14" t="s">
        <v>442</v>
      </c>
      <c r="E39" s="14" t="s">
        <v>443</v>
      </c>
      <c r="F39" s="14" t="s">
        <v>454</v>
      </c>
      <c r="G39" s="14" t="s">
        <v>321</v>
      </c>
      <c r="H39" s="14" t="s">
        <v>11</v>
      </c>
      <c r="I39" s="14" t="s">
        <v>44</v>
      </c>
      <c r="J39" s="14" t="s">
        <v>455</v>
      </c>
      <c r="K39" s="14" t="s">
        <v>456</v>
      </c>
      <c r="L39" s="14" t="s">
        <v>457</v>
      </c>
      <c r="M39" s="14" t="s">
        <v>361</v>
      </c>
      <c r="N39" s="14" t="s">
        <v>441</v>
      </c>
      <c r="O39" s="14" t="s">
        <v>327</v>
      </c>
      <c r="P39" s="14" t="s">
        <v>458</v>
      </c>
      <c r="Q39" s="16" t="s">
        <v>5</v>
      </c>
      <c r="R39" s="14" t="s">
        <v>452</v>
      </c>
    </row>
    <row r="40" customFormat="false" ht="35.05" hidden="false" customHeight="false" outlineLevel="0" collapsed="false">
      <c r="A40" s="14" t="s">
        <v>459</v>
      </c>
      <c r="B40" s="14" t="n">
        <v>4</v>
      </c>
      <c r="C40" s="14" t="s">
        <v>91</v>
      </c>
      <c r="D40" s="14" t="s">
        <v>460</v>
      </c>
      <c r="E40" s="14" t="s">
        <v>443</v>
      </c>
      <c r="F40" s="14" t="s">
        <v>461</v>
      </c>
      <c r="G40" s="14" t="s">
        <v>222</v>
      </c>
      <c r="H40" s="14" t="s">
        <v>10</v>
      </c>
      <c r="I40" s="14" t="s">
        <v>35</v>
      </c>
      <c r="J40" s="14" t="s">
        <v>462</v>
      </c>
      <c r="K40" s="14" t="s">
        <v>463</v>
      </c>
      <c r="L40" s="14" t="s">
        <v>464</v>
      </c>
      <c r="M40" s="14" t="s">
        <v>371</v>
      </c>
      <c r="N40" s="14" t="s">
        <v>236</v>
      </c>
      <c r="O40" s="14" t="s">
        <v>217</v>
      </c>
      <c r="P40" s="14" t="s">
        <v>465</v>
      </c>
      <c r="Q40" s="17" t="s">
        <v>4</v>
      </c>
      <c r="R40" s="14" t="s">
        <v>373</v>
      </c>
    </row>
    <row r="41" customFormat="false" ht="35.05" hidden="false" customHeight="false" outlineLevel="0" collapsed="false">
      <c r="A41" s="14" t="s">
        <v>466</v>
      </c>
      <c r="B41" s="14" t="n">
        <v>4</v>
      </c>
      <c r="C41" s="14" t="s">
        <v>91</v>
      </c>
      <c r="D41" s="14" t="s">
        <v>460</v>
      </c>
      <c r="E41" s="14" t="s">
        <v>443</v>
      </c>
      <c r="F41" s="14" t="s">
        <v>467</v>
      </c>
      <c r="G41" s="14" t="s">
        <v>321</v>
      </c>
      <c r="H41" s="14" t="s">
        <v>11</v>
      </c>
      <c r="I41" s="14" t="s">
        <v>44</v>
      </c>
      <c r="J41" s="14" t="s">
        <v>468</v>
      </c>
      <c r="K41" s="14" t="s">
        <v>469</v>
      </c>
      <c r="L41" s="14" t="s">
        <v>470</v>
      </c>
      <c r="M41" s="14" t="s">
        <v>361</v>
      </c>
      <c r="N41" s="14" t="s">
        <v>459</v>
      </c>
      <c r="O41" s="14" t="s">
        <v>327</v>
      </c>
      <c r="P41" s="14" t="s">
        <v>471</v>
      </c>
      <c r="Q41" s="17" t="s">
        <v>4</v>
      </c>
      <c r="R41" s="14" t="s">
        <v>472</v>
      </c>
    </row>
    <row r="42" customFormat="false" ht="57.45" hidden="false" customHeight="false" outlineLevel="0" collapsed="false">
      <c r="A42" s="14" t="s">
        <v>473</v>
      </c>
      <c r="B42" s="14" t="n">
        <v>4</v>
      </c>
      <c r="C42" s="14" t="s">
        <v>91</v>
      </c>
      <c r="D42" s="14" t="s">
        <v>474</v>
      </c>
      <c r="E42" s="14" t="s">
        <v>443</v>
      </c>
      <c r="F42" s="14" t="s">
        <v>475</v>
      </c>
      <c r="G42" s="14" t="s">
        <v>222</v>
      </c>
      <c r="H42" s="14" t="s">
        <v>10</v>
      </c>
      <c r="I42" s="14" t="s">
        <v>35</v>
      </c>
      <c r="J42" s="14" t="s">
        <v>476</v>
      </c>
      <c r="K42" s="14" t="s">
        <v>477</v>
      </c>
      <c r="L42" s="14" t="s">
        <v>478</v>
      </c>
      <c r="M42" s="14" t="s">
        <v>371</v>
      </c>
      <c r="N42" s="14" t="s">
        <v>479</v>
      </c>
      <c r="O42" s="14" t="s">
        <v>480</v>
      </c>
      <c r="P42" s="14" t="s">
        <v>481</v>
      </c>
      <c r="Q42" s="17" t="s">
        <v>4</v>
      </c>
      <c r="R42" s="14" t="s">
        <v>482</v>
      </c>
    </row>
    <row r="43" customFormat="false" ht="46.25" hidden="false" customHeight="false" outlineLevel="0" collapsed="false">
      <c r="A43" s="14" t="s">
        <v>483</v>
      </c>
      <c r="B43" s="14" t="n">
        <v>4</v>
      </c>
      <c r="C43" s="14" t="s">
        <v>91</v>
      </c>
      <c r="D43" s="14" t="s">
        <v>474</v>
      </c>
      <c r="E43" s="14" t="s">
        <v>443</v>
      </c>
      <c r="F43" s="14" t="s">
        <v>484</v>
      </c>
      <c r="G43" s="14" t="s">
        <v>321</v>
      </c>
      <c r="H43" s="14" t="s">
        <v>11</v>
      </c>
      <c r="I43" s="14" t="s">
        <v>44</v>
      </c>
      <c r="J43" s="14" t="s">
        <v>485</v>
      </c>
      <c r="K43" s="14" t="s">
        <v>486</v>
      </c>
      <c r="L43" s="14" t="s">
        <v>487</v>
      </c>
      <c r="M43" s="14" t="s">
        <v>361</v>
      </c>
      <c r="N43" s="14" t="s">
        <v>473</v>
      </c>
      <c r="O43" s="14" t="s">
        <v>327</v>
      </c>
      <c r="P43" s="14" t="s">
        <v>488</v>
      </c>
      <c r="Q43" s="17" t="s">
        <v>4</v>
      </c>
      <c r="R43" s="14" t="s">
        <v>489</v>
      </c>
    </row>
    <row r="44" customFormat="false" ht="35.05" hidden="false" customHeight="false" outlineLevel="0" collapsed="false">
      <c r="A44" s="14" t="s">
        <v>490</v>
      </c>
      <c r="B44" s="14" t="n">
        <v>4</v>
      </c>
      <c r="C44" s="14" t="s">
        <v>91</v>
      </c>
      <c r="D44" s="14" t="s">
        <v>491</v>
      </c>
      <c r="E44" s="14" t="s">
        <v>443</v>
      </c>
      <c r="F44" s="14" t="s">
        <v>492</v>
      </c>
      <c r="G44" s="14" t="s">
        <v>222</v>
      </c>
      <c r="H44" s="14" t="s">
        <v>10</v>
      </c>
      <c r="I44" s="14" t="s">
        <v>35</v>
      </c>
      <c r="J44" s="14" t="s">
        <v>493</v>
      </c>
      <c r="K44" s="14" t="s">
        <v>494</v>
      </c>
      <c r="L44" s="14" t="s">
        <v>495</v>
      </c>
      <c r="M44" s="14" t="s">
        <v>371</v>
      </c>
      <c r="N44" s="14" t="s">
        <v>236</v>
      </c>
      <c r="O44" s="14" t="s">
        <v>217</v>
      </c>
      <c r="P44" s="14" t="s">
        <v>496</v>
      </c>
      <c r="Q44" s="17" t="s">
        <v>4</v>
      </c>
      <c r="R44" s="14" t="s">
        <v>373</v>
      </c>
    </row>
    <row r="45" customFormat="false" ht="35.05" hidden="false" customHeight="false" outlineLevel="0" collapsed="false">
      <c r="A45" s="14" t="s">
        <v>497</v>
      </c>
      <c r="B45" s="14" t="n">
        <v>4</v>
      </c>
      <c r="C45" s="14" t="s">
        <v>91</v>
      </c>
      <c r="D45" s="14" t="s">
        <v>491</v>
      </c>
      <c r="E45" s="14" t="s">
        <v>443</v>
      </c>
      <c r="F45" s="14" t="s">
        <v>498</v>
      </c>
      <c r="G45" s="14" t="s">
        <v>321</v>
      </c>
      <c r="H45" s="14" t="s">
        <v>11</v>
      </c>
      <c r="I45" s="14" t="s">
        <v>44</v>
      </c>
      <c r="J45" s="14" t="s">
        <v>499</v>
      </c>
      <c r="K45" s="14" t="s">
        <v>500</v>
      </c>
      <c r="L45" s="14" t="s">
        <v>501</v>
      </c>
      <c r="M45" s="14" t="s">
        <v>361</v>
      </c>
      <c r="N45" s="14" t="s">
        <v>490</v>
      </c>
      <c r="O45" s="14" t="s">
        <v>327</v>
      </c>
      <c r="P45" s="14" t="s">
        <v>502</v>
      </c>
      <c r="Q45" s="17" t="s">
        <v>4</v>
      </c>
      <c r="R45" s="14" t="s">
        <v>503</v>
      </c>
    </row>
    <row r="46" customFormat="false" ht="46.25" hidden="false" customHeight="false" outlineLevel="0" collapsed="false">
      <c r="A46" s="14" t="s">
        <v>504</v>
      </c>
      <c r="B46" s="14" t="n">
        <v>4</v>
      </c>
      <c r="C46" s="14" t="s">
        <v>91</v>
      </c>
      <c r="D46" s="14" t="s">
        <v>505</v>
      </c>
      <c r="E46" s="14" t="s">
        <v>443</v>
      </c>
      <c r="F46" s="14" t="s">
        <v>506</v>
      </c>
      <c r="G46" s="14" t="s">
        <v>222</v>
      </c>
      <c r="H46" s="14" t="s">
        <v>10</v>
      </c>
      <c r="I46" s="14" t="s">
        <v>35</v>
      </c>
      <c r="J46" s="14" t="s">
        <v>507</v>
      </c>
      <c r="K46" s="14" t="s">
        <v>508</v>
      </c>
      <c r="L46" s="14" t="s">
        <v>509</v>
      </c>
      <c r="M46" s="14" t="s">
        <v>371</v>
      </c>
      <c r="N46" s="14" t="s">
        <v>473</v>
      </c>
      <c r="O46" s="14" t="s">
        <v>417</v>
      </c>
      <c r="P46" s="14" t="s">
        <v>510</v>
      </c>
      <c r="Q46" s="17" t="s">
        <v>4</v>
      </c>
      <c r="R46" s="14" t="s">
        <v>511</v>
      </c>
    </row>
    <row r="47" customFormat="false" ht="35.05" hidden="false" customHeight="false" outlineLevel="0" collapsed="false">
      <c r="A47" s="14" t="s">
        <v>512</v>
      </c>
      <c r="B47" s="14" t="n">
        <v>4</v>
      </c>
      <c r="C47" s="14" t="s">
        <v>91</v>
      </c>
      <c r="D47" s="14" t="s">
        <v>505</v>
      </c>
      <c r="E47" s="14" t="s">
        <v>443</v>
      </c>
      <c r="F47" s="14" t="s">
        <v>513</v>
      </c>
      <c r="G47" s="14" t="s">
        <v>321</v>
      </c>
      <c r="H47" s="14" t="s">
        <v>11</v>
      </c>
      <c r="I47" s="14" t="s">
        <v>44</v>
      </c>
      <c r="J47" s="14" t="s">
        <v>514</v>
      </c>
      <c r="K47" s="14" t="s">
        <v>515</v>
      </c>
      <c r="L47" s="14" t="s">
        <v>516</v>
      </c>
      <c r="M47" s="14" t="s">
        <v>361</v>
      </c>
      <c r="N47" s="14" t="s">
        <v>504</v>
      </c>
      <c r="O47" s="14" t="s">
        <v>327</v>
      </c>
      <c r="P47" s="14" t="s">
        <v>517</v>
      </c>
      <c r="Q47" s="17" t="s">
        <v>4</v>
      </c>
      <c r="R47" s="14" t="s">
        <v>518</v>
      </c>
    </row>
    <row r="48" customFormat="false" ht="46.25" hidden="false" customHeight="false" outlineLevel="0" collapsed="false">
      <c r="A48" s="14" t="s">
        <v>519</v>
      </c>
      <c r="B48" s="14" t="n">
        <v>4</v>
      </c>
      <c r="C48" s="14" t="s">
        <v>91</v>
      </c>
      <c r="D48" s="14" t="s">
        <v>520</v>
      </c>
      <c r="E48" s="14" t="s">
        <v>443</v>
      </c>
      <c r="F48" s="14" t="s">
        <v>521</v>
      </c>
      <c r="G48" s="14" t="s">
        <v>222</v>
      </c>
      <c r="H48" s="14" t="s">
        <v>10</v>
      </c>
      <c r="I48" s="14" t="s">
        <v>35</v>
      </c>
      <c r="J48" s="14" t="s">
        <v>522</v>
      </c>
      <c r="K48" s="14" t="s">
        <v>523</v>
      </c>
      <c r="L48" s="14" t="s">
        <v>524</v>
      </c>
      <c r="M48" s="14" t="s">
        <v>371</v>
      </c>
      <c r="N48" s="14" t="s">
        <v>473</v>
      </c>
      <c r="O48" s="14" t="s">
        <v>432</v>
      </c>
      <c r="P48" s="14" t="s">
        <v>525</v>
      </c>
      <c r="Q48" s="17" t="s">
        <v>4</v>
      </c>
      <c r="R48" s="14" t="s">
        <v>511</v>
      </c>
    </row>
    <row r="49" customFormat="false" ht="35.05" hidden="false" customHeight="false" outlineLevel="0" collapsed="false">
      <c r="A49" s="14" t="s">
        <v>526</v>
      </c>
      <c r="B49" s="14" t="n">
        <v>4</v>
      </c>
      <c r="C49" s="14" t="s">
        <v>91</v>
      </c>
      <c r="D49" s="14" t="s">
        <v>520</v>
      </c>
      <c r="E49" s="14" t="s">
        <v>443</v>
      </c>
      <c r="F49" s="14" t="s">
        <v>527</v>
      </c>
      <c r="G49" s="14" t="s">
        <v>321</v>
      </c>
      <c r="H49" s="14" t="s">
        <v>11</v>
      </c>
      <c r="I49" s="14" t="s">
        <v>44</v>
      </c>
      <c r="J49" s="14" t="s">
        <v>528</v>
      </c>
      <c r="K49" s="14" t="s">
        <v>529</v>
      </c>
      <c r="L49" s="14" t="s">
        <v>530</v>
      </c>
      <c r="M49" s="14" t="s">
        <v>361</v>
      </c>
      <c r="N49" s="14" t="s">
        <v>519</v>
      </c>
      <c r="O49" s="14" t="s">
        <v>327</v>
      </c>
      <c r="P49" s="14" t="s">
        <v>531</v>
      </c>
      <c r="Q49" s="17" t="s">
        <v>4</v>
      </c>
      <c r="R49" s="14" t="s">
        <v>532</v>
      </c>
    </row>
    <row r="50" customFormat="false" ht="46.25" hidden="false" customHeight="false" outlineLevel="0" collapsed="false">
      <c r="A50" s="14" t="s">
        <v>533</v>
      </c>
      <c r="B50" s="14" t="n">
        <v>4</v>
      </c>
      <c r="C50" s="14" t="s">
        <v>91</v>
      </c>
      <c r="D50" s="14" t="s">
        <v>534</v>
      </c>
      <c r="E50" s="14" t="s">
        <v>535</v>
      </c>
      <c r="F50" s="14" t="s">
        <v>536</v>
      </c>
      <c r="G50" s="14" t="s">
        <v>222</v>
      </c>
      <c r="H50" s="14" t="s">
        <v>10</v>
      </c>
      <c r="I50" s="14" t="s">
        <v>33</v>
      </c>
      <c r="J50" s="14" t="s">
        <v>537</v>
      </c>
      <c r="K50" s="14" t="s">
        <v>538</v>
      </c>
      <c r="L50" s="14" t="s">
        <v>539</v>
      </c>
      <c r="M50" s="14" t="s">
        <v>540</v>
      </c>
      <c r="N50" s="14" t="s">
        <v>236</v>
      </c>
      <c r="O50" s="14" t="s">
        <v>217</v>
      </c>
      <c r="P50" s="14" t="s">
        <v>541</v>
      </c>
      <c r="Q50" s="17" t="s">
        <v>4</v>
      </c>
      <c r="R50" s="14" t="s">
        <v>373</v>
      </c>
    </row>
    <row r="51" customFormat="false" ht="35.05" hidden="false" customHeight="false" outlineLevel="0" collapsed="false">
      <c r="A51" s="14" t="s">
        <v>542</v>
      </c>
      <c r="B51" s="14" t="n">
        <v>4</v>
      </c>
      <c r="C51" s="14" t="s">
        <v>91</v>
      </c>
      <c r="D51" s="14" t="s">
        <v>534</v>
      </c>
      <c r="E51" s="14" t="s">
        <v>535</v>
      </c>
      <c r="F51" s="14" t="s">
        <v>543</v>
      </c>
      <c r="G51" s="14" t="s">
        <v>321</v>
      </c>
      <c r="H51" s="14" t="s">
        <v>11</v>
      </c>
      <c r="I51" s="14" t="s">
        <v>42</v>
      </c>
      <c r="J51" s="14" t="s">
        <v>544</v>
      </c>
      <c r="K51" s="14" t="s">
        <v>545</v>
      </c>
      <c r="L51" s="14" t="s">
        <v>546</v>
      </c>
      <c r="M51" s="14" t="s">
        <v>361</v>
      </c>
      <c r="N51" s="14" t="s">
        <v>533</v>
      </c>
      <c r="O51" s="14" t="s">
        <v>327</v>
      </c>
      <c r="P51" s="14" t="s">
        <v>547</v>
      </c>
      <c r="Q51" s="17" t="s">
        <v>4</v>
      </c>
      <c r="R51" s="14" t="s">
        <v>548</v>
      </c>
    </row>
    <row r="52" customFormat="false" ht="46.25" hidden="false" customHeight="false" outlineLevel="0" collapsed="false">
      <c r="A52" s="14" t="s">
        <v>549</v>
      </c>
      <c r="B52" s="14" t="n">
        <v>4</v>
      </c>
      <c r="C52" s="14" t="s">
        <v>91</v>
      </c>
      <c r="D52" s="14" t="s">
        <v>550</v>
      </c>
      <c r="E52" s="14" t="s">
        <v>535</v>
      </c>
      <c r="F52" s="14" t="s">
        <v>551</v>
      </c>
      <c r="G52" s="14" t="s">
        <v>222</v>
      </c>
      <c r="H52" s="14" t="s">
        <v>10</v>
      </c>
      <c r="I52" s="14" t="s">
        <v>33</v>
      </c>
      <c r="J52" s="14" t="s">
        <v>552</v>
      </c>
      <c r="K52" s="14" t="s">
        <v>553</v>
      </c>
      <c r="L52" s="14" t="s">
        <v>554</v>
      </c>
      <c r="M52" s="14" t="s">
        <v>371</v>
      </c>
      <c r="N52" s="14" t="s">
        <v>236</v>
      </c>
      <c r="O52" s="14" t="s">
        <v>555</v>
      </c>
      <c r="P52" s="14" t="s">
        <v>556</v>
      </c>
      <c r="Q52" s="16" t="s">
        <v>5</v>
      </c>
      <c r="R52" s="14" t="s">
        <v>557</v>
      </c>
    </row>
    <row r="53" customFormat="false" ht="35.05" hidden="false" customHeight="false" outlineLevel="0" collapsed="false">
      <c r="A53" s="14" t="s">
        <v>558</v>
      </c>
      <c r="B53" s="14" t="n">
        <v>4</v>
      </c>
      <c r="C53" s="14" t="s">
        <v>91</v>
      </c>
      <c r="D53" s="14" t="s">
        <v>550</v>
      </c>
      <c r="E53" s="14" t="s">
        <v>535</v>
      </c>
      <c r="F53" s="14" t="s">
        <v>559</v>
      </c>
      <c r="G53" s="14" t="s">
        <v>321</v>
      </c>
      <c r="H53" s="14" t="s">
        <v>11</v>
      </c>
      <c r="I53" s="14" t="s">
        <v>42</v>
      </c>
      <c r="J53" s="14" t="s">
        <v>560</v>
      </c>
      <c r="K53" s="14" t="s">
        <v>561</v>
      </c>
      <c r="L53" s="14" t="s">
        <v>562</v>
      </c>
      <c r="M53" s="14" t="s">
        <v>361</v>
      </c>
      <c r="N53" s="14" t="s">
        <v>549</v>
      </c>
      <c r="O53" s="14" t="s">
        <v>327</v>
      </c>
      <c r="P53" s="14" t="s">
        <v>563</v>
      </c>
      <c r="Q53" s="16" t="s">
        <v>5</v>
      </c>
      <c r="R53" s="14" t="s">
        <v>564</v>
      </c>
    </row>
    <row r="54" customFormat="false" ht="35.05" hidden="false" customHeight="false" outlineLevel="0" collapsed="false">
      <c r="A54" s="14" t="s">
        <v>565</v>
      </c>
      <c r="B54" s="14" t="n">
        <v>4</v>
      </c>
      <c r="C54" s="14" t="s">
        <v>91</v>
      </c>
      <c r="D54" s="14" t="s">
        <v>566</v>
      </c>
      <c r="E54" s="14" t="s">
        <v>535</v>
      </c>
      <c r="F54" s="14" t="s">
        <v>567</v>
      </c>
      <c r="G54" s="14" t="s">
        <v>222</v>
      </c>
      <c r="H54" s="14" t="s">
        <v>10</v>
      </c>
      <c r="I54" s="14" t="s">
        <v>37</v>
      </c>
      <c r="J54" s="14" t="s">
        <v>568</v>
      </c>
      <c r="K54" s="14" t="s">
        <v>569</v>
      </c>
      <c r="L54" s="14" t="s">
        <v>570</v>
      </c>
      <c r="M54" s="14" t="s">
        <v>571</v>
      </c>
      <c r="N54" s="14" t="s">
        <v>572</v>
      </c>
      <c r="O54" s="14" t="s">
        <v>217</v>
      </c>
      <c r="P54" s="14" t="s">
        <v>573</v>
      </c>
      <c r="Q54" s="16" t="s">
        <v>5</v>
      </c>
      <c r="R54" s="14" t="s">
        <v>271</v>
      </c>
    </row>
    <row r="55" customFormat="false" ht="46.25" hidden="false" customHeight="false" outlineLevel="0" collapsed="false">
      <c r="A55" s="14" t="s">
        <v>574</v>
      </c>
      <c r="B55" s="14" t="n">
        <v>4</v>
      </c>
      <c r="C55" s="14" t="s">
        <v>91</v>
      </c>
      <c r="D55" s="14" t="s">
        <v>575</v>
      </c>
      <c r="E55" s="14" t="s">
        <v>535</v>
      </c>
      <c r="F55" s="14" t="s">
        <v>576</v>
      </c>
      <c r="G55" s="14" t="s">
        <v>222</v>
      </c>
      <c r="H55" s="14" t="s">
        <v>10</v>
      </c>
      <c r="I55" s="14" t="s">
        <v>33</v>
      </c>
      <c r="J55" s="14" t="s">
        <v>577</v>
      </c>
      <c r="K55" s="14" t="s">
        <v>578</v>
      </c>
      <c r="L55" s="14" t="s">
        <v>579</v>
      </c>
      <c r="M55" s="14" t="s">
        <v>371</v>
      </c>
      <c r="N55" s="14" t="s">
        <v>236</v>
      </c>
      <c r="O55" s="14" t="s">
        <v>217</v>
      </c>
      <c r="P55" s="14" t="s">
        <v>580</v>
      </c>
      <c r="Q55" s="17" t="s">
        <v>4</v>
      </c>
      <c r="R55" s="14" t="s">
        <v>373</v>
      </c>
    </row>
    <row r="56" customFormat="false" ht="35.05" hidden="false" customHeight="false" outlineLevel="0" collapsed="false">
      <c r="A56" s="14" t="s">
        <v>581</v>
      </c>
      <c r="B56" s="14" t="n">
        <v>4</v>
      </c>
      <c r="C56" s="14" t="s">
        <v>91</v>
      </c>
      <c r="D56" s="14" t="s">
        <v>575</v>
      </c>
      <c r="E56" s="14" t="s">
        <v>535</v>
      </c>
      <c r="F56" s="14" t="s">
        <v>582</v>
      </c>
      <c r="G56" s="14" t="s">
        <v>321</v>
      </c>
      <c r="H56" s="14" t="s">
        <v>11</v>
      </c>
      <c r="I56" s="14" t="s">
        <v>42</v>
      </c>
      <c r="J56" s="14" t="s">
        <v>583</v>
      </c>
      <c r="K56" s="14" t="s">
        <v>584</v>
      </c>
      <c r="L56" s="14" t="s">
        <v>585</v>
      </c>
      <c r="M56" s="14" t="s">
        <v>361</v>
      </c>
      <c r="N56" s="14" t="s">
        <v>574</v>
      </c>
      <c r="O56" s="14" t="s">
        <v>327</v>
      </c>
      <c r="P56" s="14" t="s">
        <v>586</v>
      </c>
      <c r="Q56" s="17" t="s">
        <v>4</v>
      </c>
      <c r="R56" s="14" t="s">
        <v>587</v>
      </c>
    </row>
    <row r="57" customFormat="false" ht="46.25" hidden="false" customHeight="false" outlineLevel="0" collapsed="false">
      <c r="A57" s="14" t="s">
        <v>588</v>
      </c>
      <c r="B57" s="14" t="n">
        <v>4</v>
      </c>
      <c r="C57" s="14" t="s">
        <v>91</v>
      </c>
      <c r="D57" s="14" t="s">
        <v>589</v>
      </c>
      <c r="E57" s="14" t="s">
        <v>535</v>
      </c>
      <c r="F57" s="14" t="s">
        <v>590</v>
      </c>
      <c r="G57" s="14" t="s">
        <v>222</v>
      </c>
      <c r="H57" s="14" t="s">
        <v>10</v>
      </c>
      <c r="I57" s="14" t="s">
        <v>33</v>
      </c>
      <c r="J57" s="14" t="s">
        <v>591</v>
      </c>
      <c r="K57" s="14" t="s">
        <v>592</v>
      </c>
      <c r="L57" s="14" t="s">
        <v>593</v>
      </c>
      <c r="M57" s="14" t="s">
        <v>371</v>
      </c>
      <c r="N57" s="14" t="s">
        <v>594</v>
      </c>
      <c r="O57" s="14" t="s">
        <v>217</v>
      </c>
      <c r="P57" s="14" t="s">
        <v>595</v>
      </c>
      <c r="Q57" s="17" t="s">
        <v>4</v>
      </c>
      <c r="R57" s="14" t="s">
        <v>596</v>
      </c>
    </row>
    <row r="58" customFormat="false" ht="35.05" hidden="false" customHeight="false" outlineLevel="0" collapsed="false">
      <c r="A58" s="14" t="s">
        <v>597</v>
      </c>
      <c r="B58" s="14" t="n">
        <v>4</v>
      </c>
      <c r="C58" s="14" t="s">
        <v>91</v>
      </c>
      <c r="D58" s="14" t="s">
        <v>589</v>
      </c>
      <c r="E58" s="14" t="s">
        <v>535</v>
      </c>
      <c r="F58" s="14" t="s">
        <v>598</v>
      </c>
      <c r="G58" s="14" t="s">
        <v>321</v>
      </c>
      <c r="H58" s="14" t="s">
        <v>11</v>
      </c>
      <c r="I58" s="14" t="s">
        <v>42</v>
      </c>
      <c r="J58" s="14" t="s">
        <v>599</v>
      </c>
      <c r="K58" s="14" t="s">
        <v>600</v>
      </c>
      <c r="L58" s="14" t="s">
        <v>601</v>
      </c>
      <c r="M58" s="14" t="s">
        <v>361</v>
      </c>
      <c r="N58" s="14" t="s">
        <v>588</v>
      </c>
      <c r="O58" s="14" t="s">
        <v>327</v>
      </c>
      <c r="P58" s="14" t="s">
        <v>602</v>
      </c>
      <c r="Q58" s="17" t="s">
        <v>4</v>
      </c>
      <c r="R58" s="14" t="s">
        <v>603</v>
      </c>
    </row>
    <row r="59" customFormat="false" ht="57.45" hidden="false" customHeight="false" outlineLevel="0" collapsed="false">
      <c r="A59" s="14" t="s">
        <v>604</v>
      </c>
      <c r="B59" s="14" t="n">
        <v>4</v>
      </c>
      <c r="C59" s="14" t="s">
        <v>91</v>
      </c>
      <c r="D59" s="14" t="s">
        <v>605</v>
      </c>
      <c r="E59" s="14" t="s">
        <v>535</v>
      </c>
      <c r="F59" s="14" t="s">
        <v>606</v>
      </c>
      <c r="G59" s="14" t="s">
        <v>222</v>
      </c>
      <c r="H59" s="14" t="s">
        <v>10</v>
      </c>
      <c r="I59" s="14" t="s">
        <v>33</v>
      </c>
      <c r="J59" s="14" t="s">
        <v>607</v>
      </c>
      <c r="K59" s="14" t="s">
        <v>608</v>
      </c>
      <c r="L59" s="14" t="s">
        <v>609</v>
      </c>
      <c r="M59" s="14" t="s">
        <v>540</v>
      </c>
      <c r="N59" s="14" t="s">
        <v>236</v>
      </c>
      <c r="O59" s="14" t="s">
        <v>610</v>
      </c>
      <c r="P59" s="14" t="s">
        <v>611</v>
      </c>
      <c r="Q59" s="17" t="s">
        <v>4</v>
      </c>
      <c r="R59" s="14" t="s">
        <v>373</v>
      </c>
    </row>
    <row r="60" customFormat="false" ht="35.05" hidden="false" customHeight="false" outlineLevel="0" collapsed="false">
      <c r="A60" s="14" t="s">
        <v>612</v>
      </c>
      <c r="B60" s="14" t="n">
        <v>4</v>
      </c>
      <c r="C60" s="14" t="s">
        <v>91</v>
      </c>
      <c r="D60" s="14" t="s">
        <v>605</v>
      </c>
      <c r="E60" s="14" t="s">
        <v>535</v>
      </c>
      <c r="F60" s="14" t="s">
        <v>613</v>
      </c>
      <c r="G60" s="14" t="s">
        <v>321</v>
      </c>
      <c r="H60" s="14" t="s">
        <v>11</v>
      </c>
      <c r="I60" s="14" t="s">
        <v>42</v>
      </c>
      <c r="J60" s="14" t="s">
        <v>614</v>
      </c>
      <c r="K60" s="14" t="s">
        <v>615</v>
      </c>
      <c r="L60" s="14" t="s">
        <v>616</v>
      </c>
      <c r="M60" s="14" t="s">
        <v>361</v>
      </c>
      <c r="N60" s="14" t="s">
        <v>604</v>
      </c>
      <c r="O60" s="14" t="s">
        <v>327</v>
      </c>
      <c r="P60" s="14" t="s">
        <v>617</v>
      </c>
      <c r="Q60" s="17" t="s">
        <v>4</v>
      </c>
      <c r="R60" s="14" t="s">
        <v>618</v>
      </c>
    </row>
    <row r="61" customFormat="false" ht="57.45" hidden="false" customHeight="false" outlineLevel="0" collapsed="false">
      <c r="A61" s="14" t="s">
        <v>619</v>
      </c>
      <c r="B61" s="14" t="n">
        <v>5</v>
      </c>
      <c r="C61" s="14" t="s">
        <v>95</v>
      </c>
      <c r="D61" s="14" t="s">
        <v>620</v>
      </c>
      <c r="E61" s="14" t="s">
        <v>621</v>
      </c>
      <c r="F61" s="14" t="s">
        <v>622</v>
      </c>
      <c r="G61" s="14" t="s">
        <v>211</v>
      </c>
      <c r="H61" s="14" t="s">
        <v>17</v>
      </c>
      <c r="I61" s="14" t="s">
        <v>212</v>
      </c>
      <c r="J61" s="14" t="s">
        <v>623</v>
      </c>
      <c r="K61" s="14" t="s">
        <v>624</v>
      </c>
      <c r="L61" s="14" t="s">
        <v>625</v>
      </c>
      <c r="M61" s="14" t="s">
        <v>216</v>
      </c>
      <c r="N61" s="14" t="s">
        <v>626</v>
      </c>
      <c r="O61" s="14" t="s">
        <v>217</v>
      </c>
      <c r="P61" s="14" t="s">
        <v>627</v>
      </c>
      <c r="Q61" s="16" t="s">
        <v>5</v>
      </c>
      <c r="R61" s="14" t="s">
        <v>628</v>
      </c>
    </row>
    <row r="62" customFormat="false" ht="46.25" hidden="false" customHeight="false" outlineLevel="0" collapsed="false">
      <c r="A62" s="14" t="s">
        <v>629</v>
      </c>
      <c r="B62" s="14" t="n">
        <v>5</v>
      </c>
      <c r="C62" s="14" t="s">
        <v>95</v>
      </c>
      <c r="D62" s="14" t="s">
        <v>630</v>
      </c>
      <c r="E62" s="14" t="s">
        <v>621</v>
      </c>
      <c r="F62" s="14" t="s">
        <v>631</v>
      </c>
      <c r="G62" s="14" t="s">
        <v>222</v>
      </c>
      <c r="H62" s="14" t="s">
        <v>10</v>
      </c>
      <c r="I62" s="14" t="s">
        <v>31</v>
      </c>
      <c r="J62" s="14" t="s">
        <v>632</v>
      </c>
      <c r="K62" s="14" t="s">
        <v>633</v>
      </c>
      <c r="L62" s="14" t="s">
        <v>634</v>
      </c>
      <c r="M62" s="14" t="s">
        <v>250</v>
      </c>
      <c r="N62" s="14" t="s">
        <v>347</v>
      </c>
      <c r="O62" s="14" t="s">
        <v>635</v>
      </c>
      <c r="P62" s="14" t="s">
        <v>636</v>
      </c>
      <c r="Q62" s="16" t="s">
        <v>5</v>
      </c>
      <c r="R62" s="14" t="s">
        <v>637</v>
      </c>
    </row>
    <row r="63" customFormat="false" ht="35.05" hidden="false" customHeight="false" outlineLevel="0" collapsed="false">
      <c r="A63" s="14" t="s">
        <v>638</v>
      </c>
      <c r="B63" s="14" t="n">
        <v>5</v>
      </c>
      <c r="C63" s="14" t="s">
        <v>95</v>
      </c>
      <c r="D63" s="14" t="s">
        <v>630</v>
      </c>
      <c r="E63" s="14" t="s">
        <v>621</v>
      </c>
      <c r="F63" s="14" t="s">
        <v>639</v>
      </c>
      <c r="G63" s="14" t="s">
        <v>321</v>
      </c>
      <c r="H63" s="14" t="s">
        <v>11</v>
      </c>
      <c r="I63" s="14" t="s">
        <v>38</v>
      </c>
      <c r="J63" s="14" t="s">
        <v>640</v>
      </c>
      <c r="K63" s="14" t="s">
        <v>641</v>
      </c>
      <c r="L63" s="14" t="s">
        <v>642</v>
      </c>
      <c r="M63" s="14" t="s">
        <v>361</v>
      </c>
      <c r="N63" s="14" t="s">
        <v>629</v>
      </c>
      <c r="O63" s="14" t="s">
        <v>327</v>
      </c>
      <c r="P63" s="14" t="s">
        <v>643</v>
      </c>
      <c r="Q63" s="16" t="s">
        <v>5</v>
      </c>
      <c r="R63" s="14" t="s">
        <v>637</v>
      </c>
    </row>
    <row r="64" customFormat="false" ht="35.05" hidden="false" customHeight="false" outlineLevel="0" collapsed="false">
      <c r="A64" s="14" t="s">
        <v>644</v>
      </c>
      <c r="B64" s="14" t="n">
        <v>5</v>
      </c>
      <c r="C64" s="14" t="s">
        <v>95</v>
      </c>
      <c r="D64" s="14" t="s">
        <v>645</v>
      </c>
      <c r="E64" s="14" t="s">
        <v>621</v>
      </c>
      <c r="F64" s="14" t="s">
        <v>646</v>
      </c>
      <c r="G64" s="14" t="s">
        <v>222</v>
      </c>
      <c r="H64" s="14" t="s">
        <v>10</v>
      </c>
      <c r="I64" s="14" t="s">
        <v>31</v>
      </c>
      <c r="J64" s="14" t="s">
        <v>647</v>
      </c>
      <c r="K64" s="14" t="s">
        <v>648</v>
      </c>
      <c r="L64" s="14" t="s">
        <v>649</v>
      </c>
      <c r="M64" s="14" t="s">
        <v>250</v>
      </c>
      <c r="N64" s="14" t="s">
        <v>347</v>
      </c>
      <c r="O64" s="14" t="s">
        <v>217</v>
      </c>
      <c r="P64" s="14" t="s">
        <v>650</v>
      </c>
      <c r="Q64" s="16" t="s">
        <v>5</v>
      </c>
      <c r="R64" s="14" t="s">
        <v>564</v>
      </c>
    </row>
    <row r="65" customFormat="false" ht="35.05" hidden="false" customHeight="false" outlineLevel="0" collapsed="false">
      <c r="A65" s="14" t="s">
        <v>651</v>
      </c>
      <c r="B65" s="14" t="n">
        <v>5</v>
      </c>
      <c r="C65" s="14" t="s">
        <v>95</v>
      </c>
      <c r="D65" s="14" t="s">
        <v>645</v>
      </c>
      <c r="E65" s="14" t="s">
        <v>621</v>
      </c>
      <c r="F65" s="14" t="s">
        <v>652</v>
      </c>
      <c r="G65" s="14" t="s">
        <v>321</v>
      </c>
      <c r="H65" s="14" t="s">
        <v>11</v>
      </c>
      <c r="I65" s="14" t="s">
        <v>38</v>
      </c>
      <c r="J65" s="14" t="s">
        <v>653</v>
      </c>
      <c r="K65" s="14" t="s">
        <v>654</v>
      </c>
      <c r="L65" s="14" t="s">
        <v>655</v>
      </c>
      <c r="M65" s="14" t="s">
        <v>361</v>
      </c>
      <c r="N65" s="14" t="s">
        <v>644</v>
      </c>
      <c r="O65" s="14" t="s">
        <v>327</v>
      </c>
      <c r="P65" s="14" t="s">
        <v>656</v>
      </c>
      <c r="Q65" s="16" t="s">
        <v>5</v>
      </c>
      <c r="R65" s="14" t="s">
        <v>564</v>
      </c>
    </row>
    <row r="66" customFormat="false" ht="46.25" hidden="false" customHeight="false" outlineLevel="0" collapsed="false">
      <c r="A66" s="14" t="s">
        <v>657</v>
      </c>
      <c r="B66" s="14" t="n">
        <v>5</v>
      </c>
      <c r="C66" s="14" t="s">
        <v>95</v>
      </c>
      <c r="D66" s="14" t="s">
        <v>658</v>
      </c>
      <c r="E66" s="14" t="s">
        <v>621</v>
      </c>
      <c r="F66" s="14" t="s">
        <v>659</v>
      </c>
      <c r="G66" s="14" t="s">
        <v>222</v>
      </c>
      <c r="H66" s="14" t="s">
        <v>10</v>
      </c>
      <c r="I66" s="14" t="s">
        <v>33</v>
      </c>
      <c r="J66" s="14" t="s">
        <v>660</v>
      </c>
      <c r="K66" s="14" t="s">
        <v>661</v>
      </c>
      <c r="L66" s="14" t="s">
        <v>662</v>
      </c>
      <c r="M66" s="14" t="s">
        <v>663</v>
      </c>
      <c r="N66" s="14" t="s">
        <v>664</v>
      </c>
      <c r="O66" s="14" t="s">
        <v>665</v>
      </c>
      <c r="P66" s="14" t="s">
        <v>666</v>
      </c>
      <c r="Q66" s="17" t="s">
        <v>4</v>
      </c>
      <c r="R66" s="14" t="s">
        <v>667</v>
      </c>
    </row>
    <row r="67" customFormat="false" ht="35.05" hidden="false" customHeight="false" outlineLevel="0" collapsed="false">
      <c r="A67" s="14" t="s">
        <v>668</v>
      </c>
      <c r="B67" s="14" t="n">
        <v>5</v>
      </c>
      <c r="C67" s="14" t="s">
        <v>95</v>
      </c>
      <c r="D67" s="14" t="s">
        <v>658</v>
      </c>
      <c r="E67" s="14" t="s">
        <v>621</v>
      </c>
      <c r="F67" s="14" t="s">
        <v>669</v>
      </c>
      <c r="G67" s="14" t="s">
        <v>321</v>
      </c>
      <c r="H67" s="14" t="s">
        <v>11</v>
      </c>
      <c r="I67" s="14" t="s">
        <v>38</v>
      </c>
      <c r="J67" s="14" t="s">
        <v>670</v>
      </c>
      <c r="K67" s="14" t="s">
        <v>671</v>
      </c>
      <c r="L67" s="14" t="s">
        <v>672</v>
      </c>
      <c r="M67" s="14" t="s">
        <v>361</v>
      </c>
      <c r="N67" s="14" t="s">
        <v>657</v>
      </c>
      <c r="O67" s="14" t="s">
        <v>327</v>
      </c>
      <c r="P67" s="14" t="s">
        <v>673</v>
      </c>
      <c r="Q67" s="16" t="s">
        <v>5</v>
      </c>
      <c r="R67" s="14" t="s">
        <v>674</v>
      </c>
    </row>
    <row r="68" customFormat="false" ht="35.05" hidden="false" customHeight="false" outlineLevel="0" collapsed="false">
      <c r="A68" s="14" t="s">
        <v>675</v>
      </c>
      <c r="B68" s="14" t="n">
        <v>5</v>
      </c>
      <c r="C68" s="14" t="s">
        <v>95</v>
      </c>
      <c r="D68" s="14" t="s">
        <v>676</v>
      </c>
      <c r="E68" s="14" t="s">
        <v>621</v>
      </c>
      <c r="F68" s="14" t="s">
        <v>677</v>
      </c>
      <c r="G68" s="14" t="s">
        <v>678</v>
      </c>
      <c r="H68" s="14" t="s">
        <v>19</v>
      </c>
      <c r="I68" s="14" t="s">
        <v>679</v>
      </c>
      <c r="J68" s="14" t="s">
        <v>680</v>
      </c>
      <c r="K68" s="14" t="s">
        <v>681</v>
      </c>
      <c r="L68" s="14" t="s">
        <v>682</v>
      </c>
      <c r="M68" s="14" t="s">
        <v>683</v>
      </c>
      <c r="N68" s="14" t="s">
        <v>236</v>
      </c>
      <c r="O68" s="14" t="s">
        <v>217</v>
      </c>
      <c r="P68" s="14" t="s">
        <v>684</v>
      </c>
      <c r="Q68" s="17" t="s">
        <v>4</v>
      </c>
      <c r="R68" s="14" t="s">
        <v>373</v>
      </c>
    </row>
    <row r="69" customFormat="false" ht="46.25" hidden="false" customHeight="false" outlineLevel="0" collapsed="false">
      <c r="A69" s="14" t="s">
        <v>685</v>
      </c>
      <c r="B69" s="14" t="n">
        <v>6</v>
      </c>
      <c r="C69" s="14" t="s">
        <v>99</v>
      </c>
      <c r="D69" s="14" t="s">
        <v>686</v>
      </c>
      <c r="E69" s="14" t="s">
        <v>687</v>
      </c>
      <c r="F69" s="14" t="s">
        <v>688</v>
      </c>
      <c r="G69" s="14" t="s">
        <v>222</v>
      </c>
      <c r="H69" s="14" t="s">
        <v>10</v>
      </c>
      <c r="I69" s="14" t="s">
        <v>36</v>
      </c>
      <c r="J69" s="14" t="s">
        <v>689</v>
      </c>
      <c r="K69" s="14" t="s">
        <v>690</v>
      </c>
      <c r="L69" s="14" t="s">
        <v>691</v>
      </c>
      <c r="M69" s="14" t="s">
        <v>692</v>
      </c>
      <c r="N69" s="14" t="s">
        <v>236</v>
      </c>
      <c r="O69" s="14" t="s">
        <v>217</v>
      </c>
      <c r="P69" s="14" t="s">
        <v>693</v>
      </c>
      <c r="Q69" s="16" t="s">
        <v>5</v>
      </c>
      <c r="R69" s="14" t="s">
        <v>694</v>
      </c>
    </row>
    <row r="70" customFormat="false" ht="35.05" hidden="false" customHeight="false" outlineLevel="0" collapsed="false">
      <c r="A70" s="14" t="s">
        <v>695</v>
      </c>
      <c r="B70" s="14" t="n">
        <v>6</v>
      </c>
      <c r="C70" s="14" t="s">
        <v>99</v>
      </c>
      <c r="D70" s="14" t="s">
        <v>686</v>
      </c>
      <c r="E70" s="14" t="s">
        <v>687</v>
      </c>
      <c r="F70" s="14" t="s">
        <v>696</v>
      </c>
      <c r="G70" s="14" t="s">
        <v>321</v>
      </c>
      <c r="H70" s="14" t="s">
        <v>11</v>
      </c>
      <c r="I70" s="14" t="s">
        <v>42</v>
      </c>
      <c r="J70" s="14" t="s">
        <v>697</v>
      </c>
      <c r="K70" s="14" t="s">
        <v>698</v>
      </c>
      <c r="L70" s="14" t="s">
        <v>699</v>
      </c>
      <c r="M70" s="14" t="s">
        <v>361</v>
      </c>
      <c r="N70" s="14" t="s">
        <v>685</v>
      </c>
      <c r="O70" s="14" t="s">
        <v>327</v>
      </c>
      <c r="P70" s="14" t="s">
        <v>700</v>
      </c>
      <c r="Q70" s="16" t="s">
        <v>5</v>
      </c>
      <c r="R70" s="14" t="s">
        <v>694</v>
      </c>
    </row>
    <row r="71" customFormat="false" ht="57.45" hidden="false" customHeight="false" outlineLevel="0" collapsed="false">
      <c r="A71" s="14" t="s">
        <v>701</v>
      </c>
      <c r="B71" s="14" t="n">
        <v>6</v>
      </c>
      <c r="C71" s="14" t="s">
        <v>99</v>
      </c>
      <c r="D71" s="14" t="s">
        <v>702</v>
      </c>
      <c r="E71" s="14" t="s">
        <v>687</v>
      </c>
      <c r="F71" s="14" t="s">
        <v>703</v>
      </c>
      <c r="G71" s="14" t="s">
        <v>222</v>
      </c>
      <c r="H71" s="14" t="s">
        <v>10</v>
      </c>
      <c r="I71" s="14" t="s">
        <v>36</v>
      </c>
      <c r="J71" s="14" t="s">
        <v>704</v>
      </c>
      <c r="K71" s="14" t="s">
        <v>705</v>
      </c>
      <c r="L71" s="14" t="s">
        <v>706</v>
      </c>
      <c r="M71" s="14" t="s">
        <v>371</v>
      </c>
      <c r="N71" s="14" t="s">
        <v>479</v>
      </c>
      <c r="O71" s="14" t="s">
        <v>707</v>
      </c>
      <c r="P71" s="14" t="s">
        <v>708</v>
      </c>
      <c r="Q71" s="16" t="s">
        <v>5</v>
      </c>
      <c r="R71" s="14" t="s">
        <v>694</v>
      </c>
    </row>
    <row r="72" customFormat="false" ht="35.05" hidden="false" customHeight="false" outlineLevel="0" collapsed="false">
      <c r="A72" s="14" t="s">
        <v>709</v>
      </c>
      <c r="B72" s="14" t="n">
        <v>6</v>
      </c>
      <c r="C72" s="14" t="s">
        <v>99</v>
      </c>
      <c r="D72" s="14" t="s">
        <v>702</v>
      </c>
      <c r="E72" s="14" t="s">
        <v>687</v>
      </c>
      <c r="F72" s="14" t="s">
        <v>710</v>
      </c>
      <c r="G72" s="14" t="s">
        <v>321</v>
      </c>
      <c r="H72" s="14" t="s">
        <v>11</v>
      </c>
      <c r="I72" s="14" t="s">
        <v>42</v>
      </c>
      <c r="J72" s="14" t="s">
        <v>711</v>
      </c>
      <c r="K72" s="14" t="s">
        <v>712</v>
      </c>
      <c r="L72" s="14" t="s">
        <v>713</v>
      </c>
      <c r="M72" s="14" t="s">
        <v>361</v>
      </c>
      <c r="N72" s="14" t="s">
        <v>701</v>
      </c>
      <c r="O72" s="14" t="s">
        <v>327</v>
      </c>
      <c r="P72" s="14" t="s">
        <v>714</v>
      </c>
      <c r="Q72" s="16" t="s">
        <v>5</v>
      </c>
      <c r="R72" s="14" t="s">
        <v>694</v>
      </c>
    </row>
    <row r="73" customFormat="false" ht="79.85" hidden="false" customHeight="false" outlineLevel="0" collapsed="false">
      <c r="A73" s="14" t="s">
        <v>715</v>
      </c>
      <c r="B73" s="14" t="n">
        <v>6</v>
      </c>
      <c r="C73" s="14" t="s">
        <v>99</v>
      </c>
      <c r="D73" s="14" t="s">
        <v>716</v>
      </c>
      <c r="E73" s="14" t="s">
        <v>687</v>
      </c>
      <c r="F73" s="14" t="s">
        <v>717</v>
      </c>
      <c r="G73" s="14" t="s">
        <v>222</v>
      </c>
      <c r="H73" s="14" t="s">
        <v>10</v>
      </c>
      <c r="I73" s="14" t="s">
        <v>36</v>
      </c>
      <c r="J73" s="14" t="s">
        <v>718</v>
      </c>
      <c r="K73" s="14" t="s">
        <v>719</v>
      </c>
      <c r="L73" s="14" t="s">
        <v>720</v>
      </c>
      <c r="M73" s="14" t="s">
        <v>371</v>
      </c>
      <c r="N73" s="14" t="s">
        <v>701</v>
      </c>
      <c r="O73" s="14" t="s">
        <v>721</v>
      </c>
      <c r="P73" s="14" t="s">
        <v>722</v>
      </c>
      <c r="Q73" s="16" t="s">
        <v>5</v>
      </c>
      <c r="R73" s="14" t="s">
        <v>694</v>
      </c>
    </row>
    <row r="74" customFormat="false" ht="35.05" hidden="false" customHeight="false" outlineLevel="0" collapsed="false">
      <c r="A74" s="14" t="s">
        <v>723</v>
      </c>
      <c r="B74" s="14" t="n">
        <v>6</v>
      </c>
      <c r="C74" s="14" t="s">
        <v>99</v>
      </c>
      <c r="D74" s="14" t="s">
        <v>716</v>
      </c>
      <c r="E74" s="14" t="s">
        <v>687</v>
      </c>
      <c r="F74" s="14" t="s">
        <v>724</v>
      </c>
      <c r="G74" s="14" t="s">
        <v>321</v>
      </c>
      <c r="H74" s="14" t="s">
        <v>11</v>
      </c>
      <c r="I74" s="14" t="s">
        <v>42</v>
      </c>
      <c r="J74" s="14" t="s">
        <v>725</v>
      </c>
      <c r="K74" s="14" t="s">
        <v>726</v>
      </c>
      <c r="L74" s="14" t="s">
        <v>727</v>
      </c>
      <c r="M74" s="14" t="s">
        <v>361</v>
      </c>
      <c r="N74" s="14" t="s">
        <v>715</v>
      </c>
      <c r="O74" s="14" t="s">
        <v>327</v>
      </c>
      <c r="P74" s="14" t="s">
        <v>728</v>
      </c>
      <c r="Q74" s="16" t="s">
        <v>5</v>
      </c>
      <c r="R74" s="14" t="s">
        <v>694</v>
      </c>
    </row>
    <row r="75" customFormat="false" ht="46.25" hidden="false" customHeight="false" outlineLevel="0" collapsed="false">
      <c r="A75" s="14" t="s">
        <v>729</v>
      </c>
      <c r="B75" s="14" t="n">
        <v>6</v>
      </c>
      <c r="C75" s="14" t="s">
        <v>99</v>
      </c>
      <c r="D75" s="14" t="s">
        <v>730</v>
      </c>
      <c r="E75" s="14" t="s">
        <v>687</v>
      </c>
      <c r="F75" s="14" t="s">
        <v>731</v>
      </c>
      <c r="G75" s="14" t="s">
        <v>222</v>
      </c>
      <c r="H75" s="14" t="s">
        <v>10</v>
      </c>
      <c r="I75" s="14" t="s">
        <v>36</v>
      </c>
      <c r="J75" s="14" t="s">
        <v>732</v>
      </c>
      <c r="K75" s="14" t="s">
        <v>733</v>
      </c>
      <c r="L75" s="14" t="s">
        <v>734</v>
      </c>
      <c r="M75" s="14" t="s">
        <v>371</v>
      </c>
      <c r="N75" s="14" t="s">
        <v>236</v>
      </c>
      <c r="O75" s="14" t="s">
        <v>217</v>
      </c>
      <c r="P75" s="14" t="s">
        <v>735</v>
      </c>
      <c r="Q75" s="16" t="s">
        <v>5</v>
      </c>
      <c r="R75" s="14" t="s">
        <v>694</v>
      </c>
    </row>
    <row r="76" customFormat="false" ht="35.05" hidden="false" customHeight="false" outlineLevel="0" collapsed="false">
      <c r="A76" s="14" t="s">
        <v>736</v>
      </c>
      <c r="B76" s="14" t="n">
        <v>6</v>
      </c>
      <c r="C76" s="14" t="s">
        <v>99</v>
      </c>
      <c r="D76" s="14" t="s">
        <v>730</v>
      </c>
      <c r="E76" s="14" t="s">
        <v>687</v>
      </c>
      <c r="F76" s="14" t="s">
        <v>737</v>
      </c>
      <c r="G76" s="14" t="s">
        <v>321</v>
      </c>
      <c r="H76" s="14" t="s">
        <v>11</v>
      </c>
      <c r="I76" s="14" t="s">
        <v>44</v>
      </c>
      <c r="J76" s="14" t="s">
        <v>738</v>
      </c>
      <c r="K76" s="14" t="s">
        <v>739</v>
      </c>
      <c r="L76" s="14" t="s">
        <v>740</v>
      </c>
      <c r="M76" s="14" t="s">
        <v>361</v>
      </c>
      <c r="N76" s="14" t="s">
        <v>729</v>
      </c>
      <c r="O76" s="14" t="s">
        <v>327</v>
      </c>
      <c r="P76" s="14" t="s">
        <v>741</v>
      </c>
      <c r="Q76" s="16" t="s">
        <v>5</v>
      </c>
      <c r="R76" s="14" t="s">
        <v>694</v>
      </c>
    </row>
    <row r="77" customFormat="false" ht="46.25" hidden="false" customHeight="false" outlineLevel="0" collapsed="false">
      <c r="A77" s="14" t="s">
        <v>742</v>
      </c>
      <c r="B77" s="14" t="n">
        <v>6</v>
      </c>
      <c r="C77" s="14" t="s">
        <v>99</v>
      </c>
      <c r="D77" s="14" t="s">
        <v>743</v>
      </c>
      <c r="E77" s="14" t="s">
        <v>687</v>
      </c>
      <c r="F77" s="14" t="s">
        <v>744</v>
      </c>
      <c r="G77" s="14" t="s">
        <v>222</v>
      </c>
      <c r="H77" s="14" t="s">
        <v>10</v>
      </c>
      <c r="I77" s="14" t="s">
        <v>36</v>
      </c>
      <c r="J77" s="14" t="s">
        <v>745</v>
      </c>
      <c r="K77" s="14" t="s">
        <v>746</v>
      </c>
      <c r="L77" s="14" t="s">
        <v>747</v>
      </c>
      <c r="M77" s="14" t="s">
        <v>371</v>
      </c>
      <c r="N77" s="14" t="s">
        <v>701</v>
      </c>
      <c r="O77" s="14" t="s">
        <v>417</v>
      </c>
      <c r="P77" s="14" t="s">
        <v>748</v>
      </c>
      <c r="Q77" s="16" t="s">
        <v>5</v>
      </c>
      <c r="R77" s="14" t="s">
        <v>694</v>
      </c>
    </row>
    <row r="78" customFormat="false" ht="35.05" hidden="false" customHeight="false" outlineLevel="0" collapsed="false">
      <c r="A78" s="14" t="s">
        <v>749</v>
      </c>
      <c r="B78" s="14" t="n">
        <v>6</v>
      </c>
      <c r="C78" s="14" t="s">
        <v>99</v>
      </c>
      <c r="D78" s="14" t="s">
        <v>743</v>
      </c>
      <c r="E78" s="14" t="s">
        <v>687</v>
      </c>
      <c r="F78" s="14" t="s">
        <v>750</v>
      </c>
      <c r="G78" s="14" t="s">
        <v>321</v>
      </c>
      <c r="H78" s="14" t="s">
        <v>11</v>
      </c>
      <c r="I78" s="14" t="s">
        <v>44</v>
      </c>
      <c r="J78" s="14" t="s">
        <v>751</v>
      </c>
      <c r="K78" s="14" t="s">
        <v>752</v>
      </c>
      <c r="L78" s="14" t="s">
        <v>753</v>
      </c>
      <c r="M78" s="14" t="s">
        <v>361</v>
      </c>
      <c r="N78" s="14" t="s">
        <v>742</v>
      </c>
      <c r="O78" s="14" t="s">
        <v>327</v>
      </c>
      <c r="P78" s="14" t="s">
        <v>754</v>
      </c>
      <c r="Q78" s="16" t="s">
        <v>5</v>
      </c>
      <c r="R78" s="14" t="s">
        <v>694</v>
      </c>
    </row>
    <row r="79" customFormat="false" ht="46.25" hidden="false" customHeight="false" outlineLevel="0" collapsed="false">
      <c r="A79" s="14" t="s">
        <v>755</v>
      </c>
      <c r="B79" s="14" t="n">
        <v>6</v>
      </c>
      <c r="C79" s="14" t="s">
        <v>99</v>
      </c>
      <c r="D79" s="14" t="s">
        <v>756</v>
      </c>
      <c r="E79" s="14" t="s">
        <v>687</v>
      </c>
      <c r="F79" s="14" t="s">
        <v>757</v>
      </c>
      <c r="G79" s="14" t="s">
        <v>222</v>
      </c>
      <c r="H79" s="14" t="s">
        <v>10</v>
      </c>
      <c r="I79" s="14" t="s">
        <v>36</v>
      </c>
      <c r="J79" s="14" t="s">
        <v>758</v>
      </c>
      <c r="K79" s="14" t="s">
        <v>759</v>
      </c>
      <c r="L79" s="14" t="s">
        <v>760</v>
      </c>
      <c r="M79" s="14" t="s">
        <v>371</v>
      </c>
      <c r="N79" s="14" t="s">
        <v>701</v>
      </c>
      <c r="O79" s="14" t="s">
        <v>432</v>
      </c>
      <c r="P79" s="14" t="s">
        <v>761</v>
      </c>
      <c r="Q79" s="16" t="s">
        <v>5</v>
      </c>
      <c r="R79" s="14" t="s">
        <v>694</v>
      </c>
    </row>
    <row r="80" customFormat="false" ht="35.05" hidden="false" customHeight="false" outlineLevel="0" collapsed="false">
      <c r="A80" s="14" t="s">
        <v>762</v>
      </c>
      <c r="B80" s="14" t="n">
        <v>6</v>
      </c>
      <c r="C80" s="14" t="s">
        <v>99</v>
      </c>
      <c r="D80" s="14" t="s">
        <v>756</v>
      </c>
      <c r="E80" s="14" t="s">
        <v>687</v>
      </c>
      <c r="F80" s="14" t="s">
        <v>763</v>
      </c>
      <c r="G80" s="14" t="s">
        <v>321</v>
      </c>
      <c r="H80" s="14" t="s">
        <v>11</v>
      </c>
      <c r="I80" s="14" t="s">
        <v>44</v>
      </c>
      <c r="J80" s="14" t="s">
        <v>764</v>
      </c>
      <c r="K80" s="14" t="s">
        <v>765</v>
      </c>
      <c r="L80" s="14" t="s">
        <v>766</v>
      </c>
      <c r="M80" s="14" t="s">
        <v>361</v>
      </c>
      <c r="N80" s="14" t="s">
        <v>755</v>
      </c>
      <c r="O80" s="14" t="s">
        <v>327</v>
      </c>
      <c r="P80" s="14" t="s">
        <v>767</v>
      </c>
      <c r="Q80" s="16" t="s">
        <v>5</v>
      </c>
      <c r="R80" s="14" t="s">
        <v>694</v>
      </c>
    </row>
  </sheetData>
  <autoFilter ref="A1:R80"/>
  <dataValidations count="1">
    <dataValidation allowBlank="false" errorStyle="stop" operator="between" showDropDown="false" showErrorMessage="false" showInputMessage="false" sqref="Q2:Q80" type="list">
      <formula1>"Habilitada,Refinada,Espera decisión,Bloqueado,En curso,Terminado"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3" t="s">
        <v>768</v>
      </c>
      <c r="B1" s="3" t="s">
        <v>769</v>
      </c>
      <c r="C1" s="3" t="s">
        <v>770</v>
      </c>
      <c r="D1" s="3" t="s">
        <v>771</v>
      </c>
    </row>
    <row r="2" customFormat="false" ht="23.85" hidden="false" customHeight="false" outlineLevel="0" collapsed="false">
      <c r="A2" s="14" t="s">
        <v>564</v>
      </c>
      <c r="B2" s="14" t="s">
        <v>772</v>
      </c>
      <c r="C2" s="14" t="s">
        <v>773</v>
      </c>
      <c r="D2" s="14" t="s">
        <v>774</v>
      </c>
    </row>
    <row r="3" customFormat="false" ht="23.85" hidden="false" customHeight="false" outlineLevel="0" collapsed="false">
      <c r="A3" s="14" t="s">
        <v>253</v>
      </c>
      <c r="B3" s="14" t="s">
        <v>775</v>
      </c>
      <c r="C3" s="14" t="s">
        <v>776</v>
      </c>
      <c r="D3" s="14" t="s">
        <v>777</v>
      </c>
    </row>
    <row r="4" customFormat="false" ht="15" hidden="false" customHeight="false" outlineLevel="0" collapsed="false">
      <c r="A4" s="14" t="s">
        <v>674</v>
      </c>
      <c r="B4" s="14" t="s">
        <v>778</v>
      </c>
      <c r="C4" s="14" t="s">
        <v>779</v>
      </c>
      <c r="D4" s="14" t="s">
        <v>780</v>
      </c>
    </row>
    <row r="5" customFormat="false" ht="15" hidden="false" customHeight="false" outlineLevel="0" collapsed="false">
      <c r="A5" s="14" t="s">
        <v>694</v>
      </c>
      <c r="B5" s="14" t="s">
        <v>781</v>
      </c>
      <c r="C5" s="14" t="s">
        <v>779</v>
      </c>
      <c r="D5" s="14" t="s">
        <v>782</v>
      </c>
    </row>
    <row r="6" customFormat="false" ht="23.85" hidden="false" customHeight="false" outlineLevel="0" collapsed="false">
      <c r="A6" s="14" t="s">
        <v>452</v>
      </c>
      <c r="B6" s="14" t="s">
        <v>783</v>
      </c>
      <c r="C6" s="14" t="s">
        <v>779</v>
      </c>
      <c r="D6" s="14" t="s">
        <v>784</v>
      </c>
    </row>
    <row r="7" customFormat="false" ht="15" hidden="false" customHeight="false" outlineLevel="0" collapsed="false">
      <c r="A7" s="14" t="s">
        <v>219</v>
      </c>
      <c r="B7" s="14" t="s">
        <v>785</v>
      </c>
      <c r="C7" s="14" t="s">
        <v>786</v>
      </c>
      <c r="D7" s="14" t="s">
        <v>207</v>
      </c>
    </row>
    <row r="8" customFormat="false" ht="15" hidden="false" customHeight="false" outlineLevel="0" collapsed="false">
      <c r="A8" s="14" t="s">
        <v>263</v>
      </c>
      <c r="B8" s="14" t="s">
        <v>787</v>
      </c>
      <c r="C8" s="14" t="s">
        <v>788</v>
      </c>
      <c r="D8" s="14" t="s">
        <v>254</v>
      </c>
    </row>
    <row r="9" customFormat="false" ht="15" hidden="false" customHeight="false" outlineLevel="0" collapsed="false">
      <c r="A9" s="14" t="s">
        <v>637</v>
      </c>
      <c r="B9" s="14" t="s">
        <v>789</v>
      </c>
      <c r="C9" s="14" t="s">
        <v>779</v>
      </c>
      <c r="D9" s="14" t="s">
        <v>790</v>
      </c>
    </row>
    <row r="10" customFormat="false" ht="15" hidden="false" customHeight="false" outlineLevel="0" collapsed="false">
      <c r="A10" s="14" t="s">
        <v>271</v>
      </c>
      <c r="B10" s="14" t="s">
        <v>791</v>
      </c>
      <c r="C10" s="14" t="s">
        <v>792</v>
      </c>
      <c r="D10" s="14" t="s">
        <v>793</v>
      </c>
    </row>
    <row r="11" customFormat="false" ht="35.05" hidden="false" customHeight="false" outlineLevel="0" collapsed="false">
      <c r="A11" s="14" t="s">
        <v>206</v>
      </c>
      <c r="B11" s="14" t="s">
        <v>794</v>
      </c>
      <c r="C11" s="14" t="s">
        <v>795</v>
      </c>
      <c r="D11" s="14" t="s">
        <v>796</v>
      </c>
    </row>
    <row r="12" customFormat="false" ht="35.05" hidden="false" customHeight="false" outlineLevel="0" collapsed="false">
      <c r="A12" s="14" t="s">
        <v>149</v>
      </c>
      <c r="B12" s="14" t="s">
        <v>797</v>
      </c>
      <c r="C12" s="14" t="s">
        <v>798</v>
      </c>
      <c r="D12" s="14" t="s">
        <v>143</v>
      </c>
    </row>
    <row r="13" customFormat="false" ht="23.85" hidden="false" customHeight="false" outlineLevel="0" collapsed="false">
      <c r="A13" s="14" t="s">
        <v>799</v>
      </c>
      <c r="B13" s="14" t="s">
        <v>800</v>
      </c>
      <c r="C13" s="14" t="s">
        <v>779</v>
      </c>
      <c r="D13" s="14" t="s">
        <v>801</v>
      </c>
    </row>
  </sheetData>
  <autoFilter ref="A1:D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3" t="s">
        <v>802</v>
      </c>
      <c r="B1" s="3" t="s">
        <v>803</v>
      </c>
      <c r="C1" s="3" t="s">
        <v>804</v>
      </c>
    </row>
    <row r="2" customFormat="false" ht="23.85" hidden="false" customHeight="false" outlineLevel="0" collapsed="false">
      <c r="A2" s="14" t="s">
        <v>805</v>
      </c>
      <c r="B2" s="14" t="s">
        <v>806</v>
      </c>
      <c r="C2" s="14" t="s">
        <v>807</v>
      </c>
    </row>
    <row r="3" customFormat="false" ht="23.85" hidden="false" customHeight="false" outlineLevel="0" collapsed="false">
      <c r="A3" s="14" t="s">
        <v>808</v>
      </c>
      <c r="B3" s="14" t="s">
        <v>809</v>
      </c>
      <c r="C3" s="14" t="s">
        <v>810</v>
      </c>
    </row>
    <row r="4" customFormat="false" ht="23.85" hidden="false" customHeight="false" outlineLevel="0" collapsed="false">
      <c r="A4" s="14" t="s">
        <v>811</v>
      </c>
      <c r="B4" s="14" t="s">
        <v>812</v>
      </c>
      <c r="C4" s="14" t="s">
        <v>813</v>
      </c>
    </row>
    <row r="5" customFormat="false" ht="15" hidden="false" customHeight="false" outlineLevel="0" collapsed="false">
      <c r="A5" s="14" t="s">
        <v>814</v>
      </c>
      <c r="B5" s="14" t="s">
        <v>815</v>
      </c>
      <c r="C5" s="14" t="s">
        <v>816</v>
      </c>
    </row>
    <row r="6" customFormat="false" ht="15" hidden="false" customHeight="false" outlineLevel="0" collapsed="false">
      <c r="A6" s="14" t="s">
        <v>817</v>
      </c>
      <c r="B6" s="14" t="s">
        <v>818</v>
      </c>
      <c r="C6" s="14" t="s">
        <v>819</v>
      </c>
    </row>
    <row r="7" customFormat="false" ht="15" hidden="false" customHeight="false" outlineLevel="0" collapsed="false">
      <c r="A7" s="14" t="s">
        <v>820</v>
      </c>
      <c r="B7" s="14" t="s">
        <v>821</v>
      </c>
      <c r="C7" s="14" t="s">
        <v>822</v>
      </c>
    </row>
    <row r="8" customFormat="false" ht="23.85" hidden="false" customHeight="false" outlineLevel="0" collapsed="false">
      <c r="A8" s="14" t="s">
        <v>823</v>
      </c>
      <c r="B8" s="14" t="s">
        <v>824</v>
      </c>
      <c r="C8" s="14" t="s">
        <v>825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23.85" hidden="false" customHeight="false" outlineLevel="0" collapsed="false">
      <c r="A1" s="3" t="s">
        <v>826</v>
      </c>
      <c r="B1" s="3" t="s">
        <v>74</v>
      </c>
      <c r="C1" s="3" t="s">
        <v>827</v>
      </c>
      <c r="D1" s="3" t="s">
        <v>828</v>
      </c>
      <c r="E1" s="3" t="s">
        <v>829</v>
      </c>
      <c r="F1" s="3" t="s">
        <v>830</v>
      </c>
    </row>
    <row r="2" customFormat="false" ht="15" hidden="false" customHeight="false" outlineLevel="0" collapsed="false">
      <c r="A2" s="14" t="s">
        <v>831</v>
      </c>
      <c r="B2" s="14" t="s">
        <v>832</v>
      </c>
      <c r="C2" s="14" t="s">
        <v>833</v>
      </c>
      <c r="D2" s="14" t="s">
        <v>834</v>
      </c>
      <c r="E2" s="14" t="s">
        <v>835</v>
      </c>
      <c r="F2" s="14" t="s">
        <v>836</v>
      </c>
    </row>
    <row r="3" customFormat="false" ht="15" hidden="false" customHeight="false" outlineLevel="0" collapsed="false">
      <c r="A3" s="14" t="s">
        <v>837</v>
      </c>
      <c r="B3" s="14" t="s">
        <v>838</v>
      </c>
      <c r="C3" s="14" t="s">
        <v>833</v>
      </c>
      <c r="D3" s="14" t="s">
        <v>834</v>
      </c>
      <c r="E3" s="14" t="s">
        <v>835</v>
      </c>
      <c r="F3" s="14" t="s">
        <v>836</v>
      </c>
    </row>
    <row r="4" customFormat="false" ht="15" hidden="false" customHeight="false" outlineLevel="0" collapsed="false">
      <c r="A4" s="14" t="s">
        <v>839</v>
      </c>
      <c r="B4" s="14" t="s">
        <v>840</v>
      </c>
      <c r="C4" s="14" t="s">
        <v>833</v>
      </c>
      <c r="D4" s="14" t="s">
        <v>834</v>
      </c>
      <c r="E4" s="14" t="s">
        <v>835</v>
      </c>
      <c r="F4" s="14" t="s">
        <v>836</v>
      </c>
    </row>
    <row r="5" customFormat="false" ht="15" hidden="false" customHeight="false" outlineLevel="0" collapsed="false">
      <c r="A5" s="14" t="s">
        <v>841</v>
      </c>
      <c r="B5" s="14" t="s">
        <v>842</v>
      </c>
      <c r="C5" s="14" t="s">
        <v>843</v>
      </c>
      <c r="D5" s="14" t="s">
        <v>844</v>
      </c>
      <c r="E5" s="14" t="s">
        <v>845</v>
      </c>
      <c r="F5" s="14" t="s">
        <v>836</v>
      </c>
    </row>
    <row r="6" customFormat="false" ht="15" hidden="false" customHeight="false" outlineLevel="0" collapsed="false">
      <c r="A6" s="14" t="s">
        <v>846</v>
      </c>
      <c r="B6" s="14" t="s">
        <v>847</v>
      </c>
      <c r="C6" s="14" t="s">
        <v>848</v>
      </c>
      <c r="D6" s="14" t="s">
        <v>849</v>
      </c>
      <c r="E6" s="14" t="s">
        <v>845</v>
      </c>
      <c r="F6" s="14" t="s">
        <v>836</v>
      </c>
    </row>
    <row r="7" customFormat="false" ht="15" hidden="false" customHeight="false" outlineLevel="0" collapsed="false">
      <c r="A7" s="14" t="s">
        <v>850</v>
      </c>
      <c r="B7" s="14" t="s">
        <v>851</v>
      </c>
      <c r="C7" s="14" t="s">
        <v>848</v>
      </c>
      <c r="D7" s="14" t="s">
        <v>849</v>
      </c>
      <c r="E7" s="14" t="s">
        <v>845</v>
      </c>
      <c r="F7" s="14" t="s">
        <v>836</v>
      </c>
    </row>
    <row r="8" customFormat="false" ht="15" hidden="false" customHeight="false" outlineLevel="0" collapsed="false">
      <c r="A8" s="14" t="s">
        <v>852</v>
      </c>
      <c r="B8" s="14" t="s">
        <v>853</v>
      </c>
      <c r="C8" s="14" t="s">
        <v>848</v>
      </c>
      <c r="D8" s="14" t="s">
        <v>849</v>
      </c>
      <c r="E8" s="14" t="s">
        <v>845</v>
      </c>
      <c r="F8" s="14" t="s">
        <v>836</v>
      </c>
    </row>
    <row r="9" customFormat="false" ht="15" hidden="false" customHeight="false" outlineLevel="0" collapsed="false">
      <c r="A9" s="14" t="s">
        <v>854</v>
      </c>
      <c r="B9" s="14" t="s">
        <v>855</v>
      </c>
      <c r="C9" s="14" t="s">
        <v>848</v>
      </c>
      <c r="D9" s="14" t="s">
        <v>844</v>
      </c>
      <c r="E9" s="14" t="s">
        <v>845</v>
      </c>
      <c r="F9" s="14" t="s">
        <v>856</v>
      </c>
    </row>
    <row r="10" customFormat="false" ht="15" hidden="false" customHeight="false" outlineLevel="0" collapsed="false">
      <c r="A10" s="14" t="s">
        <v>857</v>
      </c>
      <c r="B10" s="14" t="s">
        <v>858</v>
      </c>
      <c r="C10" s="14" t="s">
        <v>859</v>
      </c>
      <c r="D10" s="14" t="s">
        <v>849</v>
      </c>
      <c r="E10" s="14" t="s">
        <v>835</v>
      </c>
      <c r="F10" s="14" t="s">
        <v>856</v>
      </c>
    </row>
    <row r="11" customFormat="false" ht="15" hidden="false" customHeight="false" outlineLevel="0" collapsed="false">
      <c r="A11" s="14" t="s">
        <v>860</v>
      </c>
      <c r="B11" s="14" t="s">
        <v>861</v>
      </c>
      <c r="C11" s="14" t="s">
        <v>859</v>
      </c>
      <c r="D11" s="14" t="s">
        <v>834</v>
      </c>
      <c r="E11" s="14" t="s">
        <v>835</v>
      </c>
      <c r="F11" s="14" t="s">
        <v>856</v>
      </c>
    </row>
    <row r="12" customFormat="false" ht="15" hidden="false" customHeight="false" outlineLevel="0" collapsed="false">
      <c r="A12" s="14" t="s">
        <v>862</v>
      </c>
      <c r="B12" s="14" t="s">
        <v>863</v>
      </c>
      <c r="C12" s="14" t="s">
        <v>859</v>
      </c>
      <c r="D12" s="14" t="s">
        <v>849</v>
      </c>
      <c r="E12" s="14" t="s">
        <v>835</v>
      </c>
      <c r="F12" s="14" t="s">
        <v>856</v>
      </c>
    </row>
    <row r="13" customFormat="false" ht="15" hidden="false" customHeight="false" outlineLevel="0" collapsed="false">
      <c r="A13" s="14" t="s">
        <v>864</v>
      </c>
      <c r="B13" s="14" t="s">
        <v>865</v>
      </c>
      <c r="C13" s="14" t="s">
        <v>859</v>
      </c>
      <c r="D13" s="14" t="s">
        <v>849</v>
      </c>
      <c r="E13" s="14" t="s">
        <v>835</v>
      </c>
      <c r="F13" s="14" t="s">
        <v>856</v>
      </c>
    </row>
    <row r="14" customFormat="false" ht="15" hidden="false" customHeight="false" outlineLevel="0" collapsed="false">
      <c r="A14" s="14" t="s">
        <v>866</v>
      </c>
      <c r="B14" s="14" t="s">
        <v>867</v>
      </c>
      <c r="C14" s="14" t="s">
        <v>859</v>
      </c>
      <c r="D14" s="14" t="s">
        <v>844</v>
      </c>
      <c r="E14" s="14" t="s">
        <v>835</v>
      </c>
      <c r="F14" s="14" t="s">
        <v>856</v>
      </c>
    </row>
    <row r="15" customFormat="false" ht="15" hidden="false" customHeight="false" outlineLevel="0" collapsed="false">
      <c r="A15" s="14" t="s">
        <v>868</v>
      </c>
      <c r="B15" s="14" t="s">
        <v>869</v>
      </c>
      <c r="C15" s="14" t="s">
        <v>859</v>
      </c>
      <c r="D15" s="14" t="s">
        <v>849</v>
      </c>
      <c r="E15" s="14" t="s">
        <v>835</v>
      </c>
      <c r="F15" s="14" t="s">
        <v>856</v>
      </c>
    </row>
    <row r="16" customFormat="false" ht="15" hidden="false" customHeight="false" outlineLevel="0" collapsed="false">
      <c r="A16" s="14" t="s">
        <v>870</v>
      </c>
      <c r="B16" s="14" t="s">
        <v>871</v>
      </c>
      <c r="C16" s="14" t="s">
        <v>859</v>
      </c>
      <c r="D16" s="14" t="s">
        <v>844</v>
      </c>
      <c r="E16" s="14" t="s">
        <v>835</v>
      </c>
      <c r="F16" s="14" t="s">
        <v>856</v>
      </c>
    </row>
    <row r="17" customFormat="false" ht="15" hidden="false" customHeight="false" outlineLevel="0" collapsed="false">
      <c r="A17" s="14" t="s">
        <v>872</v>
      </c>
      <c r="B17" s="14" t="s">
        <v>873</v>
      </c>
      <c r="C17" s="14" t="s">
        <v>859</v>
      </c>
      <c r="D17" s="14" t="s">
        <v>849</v>
      </c>
      <c r="E17" s="14" t="s">
        <v>835</v>
      </c>
      <c r="F17" s="14" t="s">
        <v>856</v>
      </c>
    </row>
    <row r="18" customFormat="false" ht="15" hidden="false" customHeight="false" outlineLevel="0" collapsed="false">
      <c r="A18" s="14" t="s">
        <v>874</v>
      </c>
      <c r="B18" s="14" t="s">
        <v>875</v>
      </c>
      <c r="C18" s="14" t="s">
        <v>859</v>
      </c>
      <c r="D18" s="14" t="s">
        <v>849</v>
      </c>
      <c r="E18" s="14" t="s">
        <v>835</v>
      </c>
      <c r="F18" s="14" t="s">
        <v>856</v>
      </c>
    </row>
    <row r="19" customFormat="false" ht="15" hidden="false" customHeight="false" outlineLevel="0" collapsed="false">
      <c r="A19" s="14" t="s">
        <v>876</v>
      </c>
      <c r="B19" s="14" t="s">
        <v>877</v>
      </c>
      <c r="C19" s="14" t="s">
        <v>859</v>
      </c>
      <c r="D19" s="14" t="s">
        <v>844</v>
      </c>
      <c r="E19" s="14" t="s">
        <v>835</v>
      </c>
      <c r="F19" s="14" t="s">
        <v>856</v>
      </c>
    </row>
    <row r="20" customFormat="false" ht="23.85" hidden="false" customHeight="false" outlineLevel="0" collapsed="false">
      <c r="A20" s="14" t="s">
        <v>878</v>
      </c>
      <c r="B20" s="14" t="s">
        <v>879</v>
      </c>
      <c r="C20" s="14" t="s">
        <v>859</v>
      </c>
      <c r="D20" s="14" t="s">
        <v>849</v>
      </c>
      <c r="E20" s="14" t="s">
        <v>835</v>
      </c>
      <c r="F20" s="14" t="s">
        <v>856</v>
      </c>
    </row>
    <row r="21" customFormat="false" ht="15" hidden="false" customHeight="false" outlineLevel="0" collapsed="false">
      <c r="A21" s="14" t="s">
        <v>880</v>
      </c>
      <c r="B21" s="14" t="s">
        <v>881</v>
      </c>
      <c r="C21" s="14" t="s">
        <v>859</v>
      </c>
      <c r="D21" s="14" t="s">
        <v>844</v>
      </c>
      <c r="E21" s="14" t="s">
        <v>835</v>
      </c>
      <c r="F21" s="14" t="s">
        <v>856</v>
      </c>
    </row>
    <row r="22" customFormat="false" ht="15" hidden="false" customHeight="false" outlineLevel="0" collapsed="false">
      <c r="A22" s="14" t="s">
        <v>882</v>
      </c>
      <c r="B22" s="14" t="s">
        <v>883</v>
      </c>
      <c r="C22" s="14" t="s">
        <v>859</v>
      </c>
      <c r="D22" s="14" t="s">
        <v>844</v>
      </c>
      <c r="E22" s="14" t="s">
        <v>835</v>
      </c>
      <c r="F22" s="14" t="s">
        <v>856</v>
      </c>
    </row>
    <row r="23" customFormat="false" ht="15" hidden="false" customHeight="false" outlineLevel="0" collapsed="false">
      <c r="A23" s="14" t="s">
        <v>884</v>
      </c>
      <c r="B23" s="14" t="s">
        <v>885</v>
      </c>
      <c r="C23" s="14" t="s">
        <v>859</v>
      </c>
      <c r="D23" s="14" t="s">
        <v>844</v>
      </c>
      <c r="E23" s="14" t="s">
        <v>835</v>
      </c>
      <c r="F23" s="14" t="s">
        <v>856</v>
      </c>
    </row>
  </sheetData>
  <autoFilter ref="A1:F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2026-10-30T00:48:33Z</dcterms:created>
  <dc:creator>openpyxl</dc:creator>
  <dc:description/>
  <dc:language>en-US</dc:language>
  <cp:lastModifiedBy/>
  <dcterms:modified xsi:type="dcterms:W3CDTF">2026-10-30T00:48:33Z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